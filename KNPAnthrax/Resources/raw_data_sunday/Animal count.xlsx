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n\OneDrive\Desktop\"/>
    </mc:Choice>
  </mc:AlternateContent>
  <xr:revisionPtr revIDLastSave="0" documentId="8_{401DFFC0-3A21-4891-B418-374FCDC78FE2}" xr6:coauthVersionLast="47" xr6:coauthVersionMax="47" xr10:uidLastSave="{00000000-0000-0000-0000-000000000000}"/>
  <bookViews>
    <workbookView xWindow="-108" yWindow="-108" windowWidth="23256" windowHeight="12456" xr2:uid="{FB39724B-1799-4ACE-8308-42BFFC505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0" i="1" l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K70" i="1"/>
  <c r="I70" i="1"/>
  <c r="G70" i="1"/>
  <c r="F70" i="1"/>
  <c r="E70" i="1"/>
  <c r="H66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AF61" i="1"/>
  <c r="AE61" i="1"/>
  <c r="AD61" i="1"/>
  <c r="H61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H56" i="1"/>
  <c r="H70" i="1" s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H51" i="1"/>
  <c r="AF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AF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AE48" i="1"/>
  <c r="AE51" i="1" s="1"/>
  <c r="AE70" i="1" s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AF41" i="1"/>
  <c r="AE41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AF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P41" i="1" s="1"/>
  <c r="O39" i="1"/>
  <c r="O41" i="1" s="1"/>
  <c r="N39" i="1"/>
  <c r="AG38" i="1"/>
  <c r="AE38" i="1"/>
  <c r="P36" i="1"/>
  <c r="H36" i="1"/>
  <c r="AC35" i="1"/>
  <c r="AD35" i="1" s="1"/>
  <c r="AE35" i="1" s="1"/>
  <c r="AF35" i="1" s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AD34" i="1"/>
  <c r="AE34" i="1" s="1"/>
  <c r="AF34" i="1" s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O36" i="1" s="1"/>
  <c r="N34" i="1"/>
  <c r="AD33" i="1"/>
  <c r="AE33" i="1" s="1"/>
  <c r="AD32" i="1"/>
  <c r="AF31" i="1"/>
  <c r="AE31" i="1"/>
  <c r="AD31" i="1"/>
  <c r="H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P31" i="1" s="1"/>
  <c r="O30" i="1"/>
  <c r="O31" i="1" s="1"/>
  <c r="N30" i="1"/>
  <c r="AF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AD26" i="1"/>
  <c r="H26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P26" i="1" s="1"/>
  <c r="O25" i="1"/>
  <c r="O26" i="1" s="1"/>
  <c r="N25" i="1"/>
  <c r="AF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AE23" i="1"/>
  <c r="AF23" i="1" s="1"/>
  <c r="AE21" i="1"/>
  <c r="AD21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AF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P21" i="1" s="1"/>
  <c r="O19" i="1"/>
  <c r="O21" i="1" s="1"/>
  <c r="N19" i="1"/>
  <c r="AE18" i="1"/>
  <c r="AF18" i="1" s="1"/>
  <c r="H16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AF14" i="1"/>
  <c r="AC14" i="1"/>
  <c r="AB14" i="1"/>
  <c r="AA14" i="1"/>
  <c r="Z14" i="1"/>
  <c r="Y14" i="1"/>
  <c r="X14" i="1"/>
  <c r="W14" i="1"/>
  <c r="V14" i="1"/>
  <c r="U14" i="1"/>
  <c r="T14" i="1"/>
  <c r="S14" i="1"/>
  <c r="R14" i="1"/>
  <c r="R16" i="1" s="1"/>
  <c r="Q14" i="1"/>
  <c r="P14" i="1"/>
  <c r="P16" i="1" s="1"/>
  <c r="O14" i="1"/>
  <c r="O16" i="1" s="1"/>
  <c r="N14" i="1"/>
  <c r="AF13" i="1"/>
  <c r="AG13" i="1" s="1"/>
  <c r="AE13" i="1"/>
  <c r="AE16" i="1" s="1"/>
  <c r="AD11" i="1"/>
  <c r="H11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AF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P11" i="1" s="1"/>
  <c r="O9" i="1"/>
  <c r="O11" i="1" s="1"/>
  <c r="N9" i="1"/>
  <c r="AG8" i="1"/>
  <c r="AF8" i="1"/>
  <c r="AF11" i="1" s="1"/>
  <c r="AE8" i="1"/>
  <c r="AE11" i="1" s="1"/>
  <c r="AF26" i="1" l="1"/>
  <c r="AG23" i="1"/>
  <c r="AF33" i="1"/>
  <c r="AE36" i="1"/>
  <c r="AG18" i="1"/>
  <c r="AF21" i="1"/>
  <c r="AF16" i="1"/>
  <c r="AD36" i="1"/>
  <c r="AF48" i="1"/>
  <c r="AE26" i="1"/>
  <c r="AF51" i="1" l="1"/>
  <c r="AF70" i="1" s="1"/>
  <c r="AG48" i="1"/>
  <c r="AG33" i="1"/>
  <c r="AF36" i="1"/>
</calcChain>
</file>

<file path=xl/sharedStrings.xml><?xml version="1.0" encoding="utf-8"?>
<sst xmlns="http://schemas.openxmlformats.org/spreadsheetml/2006/main" count="109" uniqueCount="25">
  <si>
    <t>KRUGER PARK CENSUS ESTIMATES PRE-1977</t>
  </si>
  <si>
    <t>A) ESTIMATES ADAPTED FROM AERIAL PLUS GROUND COUNTS</t>
  </si>
  <si>
    <t>B) EAS CENSUS DATA</t>
  </si>
  <si>
    <t>ADJUSTED SAMPLE COUNTS</t>
  </si>
  <si>
    <t>Year</t>
  </si>
  <si>
    <t>Wildebeest</t>
  </si>
  <si>
    <t>South</t>
  </si>
  <si>
    <t>Central</t>
  </si>
  <si>
    <t>North</t>
  </si>
  <si>
    <t>FarNorth</t>
  </si>
  <si>
    <t>TOTAL</t>
  </si>
  <si>
    <t>Zebra</t>
  </si>
  <si>
    <t>Impala</t>
  </si>
  <si>
    <t>Giraffe</t>
  </si>
  <si>
    <t>Kudu</t>
  </si>
  <si>
    <t>Waterbuck</t>
  </si>
  <si>
    <t>Warthog</t>
  </si>
  <si>
    <t>White rhino</t>
  </si>
  <si>
    <t>Sable</t>
  </si>
  <si>
    <t>Roan</t>
  </si>
  <si>
    <t>Tsessebe</t>
  </si>
  <si>
    <t>Eland</t>
  </si>
  <si>
    <t>Buffalo</t>
  </si>
  <si>
    <t>Rare antelope</t>
  </si>
  <si>
    <t>Rare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</si>
</sst>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0C79-D4BA-4AA1-92FE-09564253E630}">
  <dimension ref="A1:AW74"/>
  <sheetViews>
    <sheetView tabSelected="1" workbookViewId="0">
      <selection activeCell="K14" sqref="K14"/>
    </sheetView>
  </sheetViews>
  <sheetFormatPr defaultRowHeight="14.4" x14ac:dyDescent="0.3"/>
  <sheetData>
    <row r="1" spans="1:49" x14ac:dyDescent="0.3">
      <c r="A1" t="s">
        <v>0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9" x14ac:dyDescent="0.3"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9" x14ac:dyDescent="0.3">
      <c r="A3" t="s">
        <v>1</v>
      </c>
      <c r="N3" t="s">
        <v>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9" x14ac:dyDescent="0.3">
      <c r="AI4" s="1" t="s">
        <v>3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9" x14ac:dyDescent="0.3">
      <c r="A5" t="s">
        <v>4</v>
      </c>
      <c r="C5">
        <v>1965</v>
      </c>
      <c r="D5">
        <v>1968</v>
      </c>
      <c r="E5">
        <v>1969</v>
      </c>
      <c r="F5">
        <v>1970</v>
      </c>
      <c r="G5">
        <v>1971</v>
      </c>
      <c r="H5">
        <v>1972</v>
      </c>
      <c r="I5">
        <v>1973</v>
      </c>
      <c r="J5">
        <v>1974</v>
      </c>
      <c r="K5">
        <v>1975</v>
      </c>
      <c r="L5">
        <v>1976</v>
      </c>
      <c r="N5">
        <v>1977</v>
      </c>
      <c r="O5">
        <v>1978</v>
      </c>
      <c r="P5">
        <v>1979</v>
      </c>
      <c r="Q5">
        <v>1980</v>
      </c>
      <c r="R5">
        <v>1981</v>
      </c>
      <c r="S5">
        <v>1982</v>
      </c>
      <c r="T5">
        <v>1983</v>
      </c>
      <c r="U5">
        <v>1984</v>
      </c>
      <c r="V5">
        <v>1985</v>
      </c>
      <c r="W5">
        <v>1986</v>
      </c>
      <c r="X5">
        <v>1987</v>
      </c>
      <c r="Y5">
        <v>1988</v>
      </c>
      <c r="Z5">
        <v>1989</v>
      </c>
      <c r="AA5">
        <v>1990</v>
      </c>
      <c r="AB5">
        <v>1991</v>
      </c>
      <c r="AC5">
        <v>1992</v>
      </c>
      <c r="AD5">
        <v>1993</v>
      </c>
      <c r="AE5">
        <v>1994</v>
      </c>
      <c r="AF5">
        <v>1995</v>
      </c>
      <c r="AG5">
        <v>1996</v>
      </c>
      <c r="AH5">
        <v>1997</v>
      </c>
      <c r="AI5" s="1">
        <v>1998</v>
      </c>
      <c r="AJ5" s="1">
        <v>1999</v>
      </c>
      <c r="AK5" s="1">
        <v>2000</v>
      </c>
      <c r="AL5" s="1">
        <v>2001</v>
      </c>
      <c r="AM5" s="1">
        <v>2002</v>
      </c>
      <c r="AN5" s="1">
        <v>2003</v>
      </c>
      <c r="AO5" s="1">
        <v>2004</v>
      </c>
      <c r="AP5" s="1">
        <v>2005</v>
      </c>
      <c r="AQ5" s="1">
        <v>2006</v>
      </c>
      <c r="AR5" s="1">
        <v>2007</v>
      </c>
      <c r="AS5" s="1">
        <v>2008</v>
      </c>
      <c r="AT5" s="1">
        <v>2009</v>
      </c>
      <c r="AU5" s="1">
        <v>2010</v>
      </c>
      <c r="AV5" s="1">
        <v>2011</v>
      </c>
      <c r="AW5" t="s">
        <v>4</v>
      </c>
    </row>
    <row r="6" spans="1:49" x14ac:dyDescent="0.3"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9" x14ac:dyDescent="0.3">
      <c r="A7" t="s">
        <v>5</v>
      </c>
      <c r="B7" t="s">
        <v>6</v>
      </c>
      <c r="E7">
        <v>1475</v>
      </c>
      <c r="F7">
        <v>1407</v>
      </c>
      <c r="G7">
        <v>1172</v>
      </c>
      <c r="H7">
        <v>745</v>
      </c>
      <c r="I7">
        <v>1350</v>
      </c>
      <c r="K7">
        <v>1400</v>
      </c>
      <c r="M7" t="s">
        <v>5</v>
      </c>
      <c r="Q7">
        <v>1106</v>
      </c>
      <c r="R7">
        <v>1129</v>
      </c>
      <c r="S7">
        <v>1191</v>
      </c>
      <c r="T7">
        <v>1063</v>
      </c>
      <c r="U7">
        <v>1179</v>
      </c>
      <c r="V7">
        <v>862</v>
      </c>
      <c r="W7">
        <v>899</v>
      </c>
      <c r="X7">
        <v>1054</v>
      </c>
      <c r="Y7">
        <v>1239</v>
      </c>
      <c r="Z7">
        <v>822</v>
      </c>
      <c r="AA7">
        <v>1022</v>
      </c>
      <c r="AB7">
        <v>954</v>
      </c>
      <c r="AC7">
        <v>1305</v>
      </c>
      <c r="AD7">
        <v>809</v>
      </c>
      <c r="AH7">
        <v>1010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t="s">
        <v>5</v>
      </c>
    </row>
    <row r="8" spans="1:49" x14ac:dyDescent="0.3">
      <c r="B8" t="s">
        <v>7</v>
      </c>
      <c r="C8">
        <v>12197</v>
      </c>
      <c r="D8">
        <v>13130</v>
      </c>
      <c r="E8">
        <v>13950</v>
      </c>
      <c r="F8">
        <v>11838</v>
      </c>
      <c r="G8">
        <v>10650</v>
      </c>
      <c r="H8">
        <v>8007</v>
      </c>
      <c r="I8">
        <v>7700</v>
      </c>
      <c r="K8">
        <v>6900</v>
      </c>
      <c r="L8">
        <v>5916</v>
      </c>
      <c r="O8">
        <v>5141</v>
      </c>
      <c r="P8">
        <v>4768</v>
      </c>
      <c r="Q8">
        <v>5816</v>
      </c>
      <c r="R8">
        <v>6512</v>
      </c>
      <c r="S8">
        <v>8127</v>
      </c>
      <c r="T8">
        <v>7584</v>
      </c>
      <c r="U8">
        <v>8026</v>
      </c>
      <c r="V8">
        <v>8634</v>
      </c>
      <c r="W8">
        <v>9406</v>
      </c>
      <c r="X8">
        <v>9951</v>
      </c>
      <c r="Y8">
        <v>9650</v>
      </c>
      <c r="Z8">
        <v>9547</v>
      </c>
      <c r="AA8">
        <v>9807</v>
      </c>
      <c r="AB8">
        <v>9788</v>
      </c>
      <c r="AC8">
        <v>10574</v>
      </c>
      <c r="AD8">
        <v>10524</v>
      </c>
      <c r="AE8" s="1">
        <f>AD8*5380/6160</f>
        <v>9191.4155844155848</v>
      </c>
      <c r="AF8" s="1">
        <f>AE8*4354/5464</f>
        <v>7324.1990216957274</v>
      </c>
      <c r="AG8" s="1">
        <f>AF8*5434/4354</f>
        <v>9140.9502719096417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9" x14ac:dyDescent="0.3">
      <c r="B9" t="s">
        <v>8</v>
      </c>
      <c r="E9">
        <v>382</v>
      </c>
      <c r="G9">
        <v>465</v>
      </c>
      <c r="H9">
        <v>638</v>
      </c>
      <c r="I9">
        <v>690</v>
      </c>
      <c r="K9">
        <v>700</v>
      </c>
      <c r="N9">
        <f>47+368+241</f>
        <v>656</v>
      </c>
      <c r="O9">
        <f>83+456+295</f>
        <v>834</v>
      </c>
      <c r="P9">
        <f>109+555+332</f>
        <v>996</v>
      </c>
      <c r="Q9">
        <f>79+559+356</f>
        <v>994</v>
      </c>
      <c r="R9">
        <f>119+755+319</f>
        <v>1193</v>
      </c>
      <c r="S9">
        <f>151+592+475</f>
        <v>1218</v>
      </c>
      <c r="T9">
        <f>211+968+397</f>
        <v>1576</v>
      </c>
      <c r="U9">
        <f>257+1011+513</f>
        <v>1781</v>
      </c>
      <c r="V9">
        <f>220+1092+380</f>
        <v>1692</v>
      </c>
      <c r="W9">
        <f>261+1307+436</f>
        <v>2004</v>
      </c>
      <c r="X9">
        <f>597+885+441</f>
        <v>1923</v>
      </c>
      <c r="Y9">
        <f>414+879+415</f>
        <v>1708</v>
      </c>
      <c r="Z9">
        <f>356+561+502</f>
        <v>1419</v>
      </c>
      <c r="AA9">
        <f>543+426+470</f>
        <v>1439</v>
      </c>
      <c r="AB9">
        <f>329+468+410</f>
        <v>1207</v>
      </c>
      <c r="AC9">
        <f>144+618+380</f>
        <v>1142</v>
      </c>
      <c r="AD9">
        <v>540</v>
      </c>
      <c r="AE9">
        <v>535</v>
      </c>
      <c r="AF9" s="1">
        <f>AE9*255/334</f>
        <v>408.45808383233532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9" x14ac:dyDescent="0.3">
      <c r="B10" t="s">
        <v>9</v>
      </c>
      <c r="E10">
        <v>265</v>
      </c>
      <c r="G10">
        <v>270</v>
      </c>
      <c r="H10">
        <v>347</v>
      </c>
      <c r="I10">
        <v>360</v>
      </c>
      <c r="K10">
        <v>360</v>
      </c>
      <c r="N10">
        <f>278+162</f>
        <v>440</v>
      </c>
      <c r="O10">
        <f>294+142</f>
        <v>436</v>
      </c>
      <c r="P10">
        <f>279+169</f>
        <v>448</v>
      </c>
      <c r="Q10">
        <f>472+180</f>
        <v>652</v>
      </c>
      <c r="R10">
        <f>549+312</f>
        <v>861</v>
      </c>
      <c r="S10">
        <f>630+424</f>
        <v>1054</v>
      </c>
      <c r="T10">
        <f>555+433</f>
        <v>988</v>
      </c>
      <c r="U10">
        <f>461+478</f>
        <v>939</v>
      </c>
      <c r="V10">
        <f>599+440</f>
        <v>1039</v>
      </c>
      <c r="W10">
        <f>579+538</f>
        <v>1117</v>
      </c>
      <c r="X10">
        <f>1127+546</f>
        <v>1673</v>
      </c>
      <c r="Y10">
        <f>1033+656</f>
        <v>1689</v>
      </c>
      <c r="Z10">
        <f>1078+839</f>
        <v>1917</v>
      </c>
      <c r="AA10">
        <f>1126+899</f>
        <v>2025</v>
      </c>
      <c r="AB10">
        <f>1085+800</f>
        <v>1885</v>
      </c>
      <c r="AC10">
        <f>291+648</f>
        <v>939</v>
      </c>
      <c r="AD10">
        <v>481</v>
      </c>
      <c r="AE10">
        <v>391</v>
      </c>
      <c r="AF10">
        <v>348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9" x14ac:dyDescent="0.3">
      <c r="B11" t="s">
        <v>10</v>
      </c>
      <c r="C11">
        <v>13035</v>
      </c>
      <c r="E11">
        <v>16072</v>
      </c>
      <c r="F11">
        <v>13950</v>
      </c>
      <c r="G11">
        <v>12557</v>
      </c>
      <c r="H11">
        <f>SUM(H7:H10)</f>
        <v>9737</v>
      </c>
      <c r="I11">
        <v>10100</v>
      </c>
      <c r="K11">
        <v>9360</v>
      </c>
      <c r="O11">
        <f>SUM(O7:O10)+1200</f>
        <v>7611</v>
      </c>
      <c r="P11">
        <f>SUM(P7:P10)+1200</f>
        <v>7412</v>
      </c>
      <c r="Q11">
        <v>8568</v>
      </c>
      <c r="R11">
        <v>9695</v>
      </c>
      <c r="S11">
        <v>11590</v>
      </c>
      <c r="T11">
        <v>11211</v>
      </c>
      <c r="U11">
        <v>11925</v>
      </c>
      <c r="V11">
        <v>12227</v>
      </c>
      <c r="W11">
        <v>13426</v>
      </c>
      <c r="X11">
        <v>14601</v>
      </c>
      <c r="Y11">
        <v>14286</v>
      </c>
      <c r="Z11">
        <v>13705</v>
      </c>
      <c r="AA11">
        <v>14293</v>
      </c>
      <c r="AB11">
        <v>13834</v>
      </c>
      <c r="AC11">
        <v>13960</v>
      </c>
      <c r="AD11">
        <f>SUM(AD7:AD10)</f>
        <v>12354</v>
      </c>
      <c r="AE11" s="1">
        <f>SUM(AE7:AE10)+1000</f>
        <v>11117.415584415585</v>
      </c>
      <c r="AF11" s="1">
        <f>SUM(AF7:AF10)+1000</f>
        <v>9080.6571055280619</v>
      </c>
      <c r="AI11" s="1">
        <v>13454.20612863785</v>
      </c>
      <c r="AJ11" s="1">
        <v>9263.2568933803377</v>
      </c>
      <c r="AK11" s="1">
        <v>5908.6988145154191</v>
      </c>
      <c r="AL11" s="1">
        <v>12509.075946047586</v>
      </c>
      <c r="AM11" s="1">
        <v>11184.585551760198</v>
      </c>
      <c r="AN11" s="1">
        <v>7493.1817676814471</v>
      </c>
      <c r="AO11" s="1">
        <v>8547.868563132517</v>
      </c>
      <c r="AP11" s="1">
        <v>8047.2427295774614</v>
      </c>
      <c r="AQ11" s="1">
        <v>7816.4204948587276</v>
      </c>
      <c r="AR11" s="1">
        <v>7727.2727272727279</v>
      </c>
      <c r="AS11" s="1">
        <v>7400</v>
      </c>
      <c r="AT11" s="1"/>
      <c r="AU11" s="1">
        <v>7654.5454545454559</v>
      </c>
      <c r="AV11" s="1"/>
    </row>
    <row r="12" spans="1:49" x14ac:dyDescent="0.3">
      <c r="A12" t="s">
        <v>11</v>
      </c>
      <c r="B12" t="s">
        <v>6</v>
      </c>
      <c r="E12">
        <v>2220</v>
      </c>
      <c r="F12">
        <v>2560</v>
      </c>
      <c r="G12">
        <v>2520</v>
      </c>
      <c r="H12">
        <v>2932</v>
      </c>
      <c r="I12">
        <v>2500</v>
      </c>
      <c r="K12">
        <v>2400</v>
      </c>
      <c r="M12" t="s">
        <v>11</v>
      </c>
      <c r="Q12">
        <v>2316</v>
      </c>
      <c r="R12">
        <v>2445</v>
      </c>
      <c r="S12">
        <v>2563</v>
      </c>
      <c r="T12">
        <v>2552</v>
      </c>
      <c r="U12">
        <v>2577</v>
      </c>
      <c r="V12">
        <v>2067</v>
      </c>
      <c r="W12">
        <v>2277</v>
      </c>
      <c r="X12">
        <v>2398</v>
      </c>
      <c r="Y12">
        <v>2119</v>
      </c>
      <c r="Z12">
        <v>2354</v>
      </c>
      <c r="AA12">
        <v>2401</v>
      </c>
      <c r="AB12">
        <v>1725</v>
      </c>
      <c r="AC12">
        <v>2947</v>
      </c>
      <c r="AD12">
        <v>2405</v>
      </c>
      <c r="AH12">
        <v>1821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t="s">
        <v>11</v>
      </c>
    </row>
    <row r="13" spans="1:49" x14ac:dyDescent="0.3">
      <c r="B13" t="s">
        <v>7</v>
      </c>
      <c r="C13">
        <v>8000</v>
      </c>
      <c r="D13">
        <v>11400</v>
      </c>
      <c r="E13">
        <v>13050</v>
      </c>
      <c r="F13">
        <v>12285</v>
      </c>
      <c r="G13">
        <v>9300</v>
      </c>
      <c r="H13">
        <v>9266</v>
      </c>
      <c r="I13">
        <v>8650</v>
      </c>
      <c r="K13">
        <v>7700</v>
      </c>
      <c r="L13">
        <v>7795</v>
      </c>
      <c r="O13">
        <v>8316</v>
      </c>
      <c r="P13">
        <v>8434</v>
      </c>
      <c r="Q13">
        <v>8877</v>
      </c>
      <c r="R13">
        <v>10834</v>
      </c>
      <c r="S13">
        <v>11603</v>
      </c>
      <c r="T13">
        <v>9807</v>
      </c>
      <c r="U13">
        <v>12830</v>
      </c>
      <c r="V13">
        <v>11822</v>
      </c>
      <c r="W13">
        <v>12520</v>
      </c>
      <c r="X13">
        <v>13097</v>
      </c>
      <c r="Y13">
        <v>12431</v>
      </c>
      <c r="Z13">
        <v>13008</v>
      </c>
      <c r="AA13">
        <v>12176</v>
      </c>
      <c r="AB13">
        <v>13240</v>
      </c>
      <c r="AC13">
        <v>12060</v>
      </c>
      <c r="AD13">
        <v>13589</v>
      </c>
      <c r="AE13" s="1">
        <f>AD13*7528/7228</f>
        <v>14153.014941892639</v>
      </c>
      <c r="AF13" s="1">
        <f>AE13*7346/7528</f>
        <v>13810.845877144438</v>
      </c>
      <c r="AG13" s="1">
        <f>AF13*8049/7346</f>
        <v>15132.520890979526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9" x14ac:dyDescent="0.3">
      <c r="B14" t="s">
        <v>8</v>
      </c>
      <c r="E14">
        <v>2095</v>
      </c>
      <c r="G14">
        <v>2620</v>
      </c>
      <c r="H14">
        <v>3077</v>
      </c>
      <c r="I14">
        <v>2900</v>
      </c>
      <c r="K14">
        <v>3000</v>
      </c>
      <c r="N14">
        <f>789+2035+2060</f>
        <v>4884</v>
      </c>
      <c r="O14">
        <f>878+2478+2237</f>
        <v>5593</v>
      </c>
      <c r="P14">
        <f>1399+2888+2333</f>
        <v>6620</v>
      </c>
      <c r="Q14">
        <f>1003+3200+3087</f>
        <v>7290</v>
      </c>
      <c r="R14">
        <f>1858+3111+3255</f>
        <v>8224</v>
      </c>
      <c r="S14">
        <f>2192+3358+4389</f>
        <v>9939</v>
      </c>
      <c r="T14">
        <f>2387+4020+2931</f>
        <v>9338</v>
      </c>
      <c r="U14">
        <f>2540+4654+3673</f>
        <v>10867</v>
      </c>
      <c r="V14">
        <f>3196+3636+4333</f>
        <v>11165</v>
      </c>
      <c r="W14">
        <f>3249+5684+4078</f>
        <v>13011</v>
      </c>
      <c r="X14">
        <f>4342+3259+3198</f>
        <v>10799</v>
      </c>
      <c r="Y14">
        <f>3461+3306+2967</f>
        <v>9734</v>
      </c>
      <c r="Z14">
        <f>3082+3642+2972</f>
        <v>9696</v>
      </c>
      <c r="AA14">
        <f>4100+3451+2864</f>
        <v>10415</v>
      </c>
      <c r="AB14">
        <f>3374+4846+2533</f>
        <v>10753</v>
      </c>
      <c r="AC14">
        <f>1811+5568+3031</f>
        <v>10410</v>
      </c>
      <c r="AD14">
        <v>7814</v>
      </c>
      <c r="AE14">
        <v>8725</v>
      </c>
      <c r="AF14" s="1">
        <f>AE14*4922/6717</f>
        <v>6393.3973500074435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9" x14ac:dyDescent="0.3">
      <c r="B15" t="s">
        <v>9</v>
      </c>
      <c r="E15">
        <v>2100</v>
      </c>
      <c r="G15">
        <v>2450</v>
      </c>
      <c r="H15">
        <v>1359</v>
      </c>
      <c r="I15">
        <v>2450</v>
      </c>
      <c r="K15">
        <v>2600</v>
      </c>
      <c r="N15">
        <f>991+1078</f>
        <v>2069</v>
      </c>
      <c r="O15">
        <f>1169+1222</f>
        <v>2391</v>
      </c>
      <c r="P15">
        <f>1368+1211</f>
        <v>2579</v>
      </c>
      <c r="Q15">
        <f>1589+1382</f>
        <v>2971</v>
      </c>
      <c r="R15">
        <f>1683+1789</f>
        <v>3472</v>
      </c>
      <c r="S15">
        <f>1936+2079</f>
        <v>4015</v>
      </c>
      <c r="T15">
        <f>1746+2530</f>
        <v>4276</v>
      </c>
      <c r="U15">
        <f>1898+2103</f>
        <v>4001</v>
      </c>
      <c r="V15">
        <f>2417+2242</f>
        <v>4659</v>
      </c>
      <c r="W15">
        <f>2577+2779</f>
        <v>5356</v>
      </c>
      <c r="X15">
        <f>3491+2416</f>
        <v>5907</v>
      </c>
      <c r="Y15">
        <f>3275+2715</f>
        <v>5990</v>
      </c>
      <c r="Z15">
        <f>3654+2886</f>
        <v>6540</v>
      </c>
      <c r="AA15">
        <f>4240+2678</f>
        <v>6918</v>
      </c>
      <c r="AB15">
        <f>4078+2907</f>
        <v>6985</v>
      </c>
      <c r="AC15">
        <f>2686+2934</f>
        <v>5620</v>
      </c>
      <c r="AD15">
        <v>5291</v>
      </c>
      <c r="AE15">
        <v>5957</v>
      </c>
      <c r="AF15">
        <v>5505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9" x14ac:dyDescent="0.3">
      <c r="B16" t="s">
        <v>10</v>
      </c>
      <c r="C16">
        <v>14400</v>
      </c>
      <c r="E16">
        <v>19465</v>
      </c>
      <c r="F16">
        <v>20227</v>
      </c>
      <c r="G16">
        <v>16890</v>
      </c>
      <c r="H16">
        <f>SUM(H12:H15)</f>
        <v>16634</v>
      </c>
      <c r="I16">
        <v>16500</v>
      </c>
      <c r="K16">
        <v>15700</v>
      </c>
      <c r="O16">
        <f>SUM(O12:O15)+2400</f>
        <v>18700</v>
      </c>
      <c r="P16">
        <f>SUM(P12:P15)+2400</f>
        <v>20033</v>
      </c>
      <c r="Q16">
        <v>21454</v>
      </c>
      <c r="R16">
        <f>SUM(R12:R15)</f>
        <v>24975</v>
      </c>
      <c r="S16">
        <v>28120</v>
      </c>
      <c r="T16">
        <v>25973</v>
      </c>
      <c r="U16">
        <v>30275</v>
      </c>
      <c r="V16">
        <v>29713</v>
      </c>
      <c r="W16">
        <v>33164</v>
      </c>
      <c r="X16">
        <v>32201</v>
      </c>
      <c r="Y16">
        <v>30274</v>
      </c>
      <c r="Z16">
        <v>31598</v>
      </c>
      <c r="AA16">
        <v>31910</v>
      </c>
      <c r="AB16">
        <v>32703</v>
      </c>
      <c r="AC16">
        <v>31037</v>
      </c>
      <c r="AD16">
        <v>29099</v>
      </c>
      <c r="AE16" s="1">
        <f>SUM(AE12:AE15)+2400</f>
        <v>31235.014941892638</v>
      </c>
      <c r="AF16" s="1">
        <f>SUM(AF12:AF15)+2400</f>
        <v>28109.243227151881</v>
      </c>
      <c r="AI16" s="1">
        <v>25143.75963754344</v>
      </c>
      <c r="AJ16" s="1">
        <v>18061.745677349543</v>
      </c>
      <c r="AK16" s="1">
        <v>17444.027014973908</v>
      </c>
      <c r="AL16" s="1">
        <v>20892.49483566247</v>
      </c>
      <c r="AM16" s="1">
        <v>19350.175512189377</v>
      </c>
      <c r="AN16" s="1">
        <v>21592.47052862334</v>
      </c>
      <c r="AO16" s="1">
        <v>18602.743840044721</v>
      </c>
      <c r="AP16" s="1">
        <v>17125.252773849479</v>
      </c>
      <c r="AQ16" s="1">
        <v>18339.617384034613</v>
      </c>
      <c r="AR16" s="1">
        <v>18417.945690672961</v>
      </c>
      <c r="AS16" s="1">
        <v>16210.153482880756</v>
      </c>
      <c r="AT16" s="1"/>
      <c r="AU16" s="1">
        <v>18040.141676505315</v>
      </c>
      <c r="AV16" s="1"/>
    </row>
    <row r="17" spans="1:49" x14ac:dyDescent="0.3">
      <c r="A17" t="s">
        <v>12</v>
      </c>
      <c r="B17" t="s">
        <v>6</v>
      </c>
      <c r="E17">
        <v>45900</v>
      </c>
      <c r="F17">
        <v>49100</v>
      </c>
      <c r="G17">
        <v>42700</v>
      </c>
      <c r="I17">
        <v>54000</v>
      </c>
      <c r="K17">
        <v>48000</v>
      </c>
      <c r="M17" t="s">
        <v>12</v>
      </c>
      <c r="Q17">
        <v>32035</v>
      </c>
      <c r="R17">
        <v>43045</v>
      </c>
      <c r="S17">
        <v>39609</v>
      </c>
      <c r="T17">
        <v>37371</v>
      </c>
      <c r="U17">
        <v>54307</v>
      </c>
      <c r="V17">
        <v>33489</v>
      </c>
      <c r="W17">
        <v>40269</v>
      </c>
      <c r="X17">
        <v>30727</v>
      </c>
      <c r="Y17">
        <v>35482</v>
      </c>
      <c r="Z17">
        <v>40270</v>
      </c>
      <c r="AA17">
        <v>31480</v>
      </c>
      <c r="AB17">
        <v>29842</v>
      </c>
      <c r="AC17">
        <v>40307</v>
      </c>
      <c r="AD17">
        <v>31214</v>
      </c>
      <c r="AH17">
        <v>24000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t="s">
        <v>12</v>
      </c>
    </row>
    <row r="18" spans="1:49" x14ac:dyDescent="0.3">
      <c r="B18" t="s">
        <v>7</v>
      </c>
      <c r="E18">
        <v>66500</v>
      </c>
      <c r="F18">
        <v>86000</v>
      </c>
      <c r="G18">
        <v>80500</v>
      </c>
      <c r="I18">
        <v>70000</v>
      </c>
      <c r="K18">
        <v>75000</v>
      </c>
      <c r="O18">
        <v>33304</v>
      </c>
      <c r="P18">
        <v>35340</v>
      </c>
      <c r="Q18">
        <v>38288</v>
      </c>
      <c r="R18">
        <v>49655</v>
      </c>
      <c r="S18">
        <v>54425</v>
      </c>
      <c r="T18">
        <v>35508</v>
      </c>
      <c r="U18">
        <v>47757</v>
      </c>
      <c r="V18">
        <v>64319</v>
      </c>
      <c r="W18">
        <v>55364</v>
      </c>
      <c r="X18">
        <v>56898</v>
      </c>
      <c r="Y18">
        <v>48330</v>
      </c>
      <c r="Z18">
        <v>50216</v>
      </c>
      <c r="AA18">
        <v>50710</v>
      </c>
      <c r="AB18">
        <v>45826</v>
      </c>
      <c r="AC18">
        <v>32845</v>
      </c>
      <c r="AD18">
        <v>41192</v>
      </c>
      <c r="AE18" s="1">
        <f>AD18*18725/22840</f>
        <v>33770.58669001751</v>
      </c>
      <c r="AF18" s="1">
        <f>AE18*16074/17145</f>
        <v>31661.032980772321</v>
      </c>
      <c r="AG18" s="1">
        <f>AF18*20499/18340</f>
        <v>35388.196023601515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9" x14ac:dyDescent="0.3">
      <c r="B19" t="s">
        <v>8</v>
      </c>
      <c r="E19">
        <v>14550</v>
      </c>
      <c r="G19">
        <v>12850</v>
      </c>
      <c r="I19">
        <v>16900</v>
      </c>
      <c r="K19">
        <v>17000</v>
      </c>
      <c r="N19">
        <f>3704+2936+5718</f>
        <v>12358</v>
      </c>
      <c r="O19">
        <f>3211+2735+4609</f>
        <v>10555</v>
      </c>
      <c r="P19">
        <f>3120+1507+6905</f>
        <v>11532</v>
      </c>
      <c r="Q19">
        <f>4668+3247+8173</f>
        <v>16088</v>
      </c>
      <c r="R19">
        <f>6087+5455+9588</f>
        <v>21130</v>
      </c>
      <c r="S19">
        <f>8255+3898+10761</f>
        <v>22914</v>
      </c>
      <c r="T19">
        <f>3787+3663+6570</f>
        <v>14020</v>
      </c>
      <c r="U19">
        <f>9695+4241+9084</f>
        <v>23020</v>
      </c>
      <c r="V19">
        <f>9693+5911+15385</f>
        <v>30989</v>
      </c>
      <c r="W19">
        <f>9954+6285+8787</f>
        <v>25026</v>
      </c>
      <c r="X19">
        <f>8310+3228+8954</f>
        <v>20492</v>
      </c>
      <c r="Y19">
        <f>10627+5412+9929</f>
        <v>25968</v>
      </c>
      <c r="Z19">
        <f>6018+4798+6707</f>
        <v>17523</v>
      </c>
      <c r="AA19">
        <f>8901+3359+12894</f>
        <v>25154</v>
      </c>
      <c r="AB19">
        <f>10681+3574+11088</f>
        <v>25343</v>
      </c>
      <c r="AC19">
        <f>6621+2817+7559</f>
        <v>16997</v>
      </c>
      <c r="AD19">
        <v>17295</v>
      </c>
      <c r="AE19" s="1">
        <v>16787</v>
      </c>
      <c r="AF19" s="1">
        <f>AE19*8359/9117</f>
        <v>15391.305582976856</v>
      </c>
      <c r="AG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9" x14ac:dyDescent="0.3">
      <c r="B20" t="s">
        <v>9</v>
      </c>
      <c r="E20">
        <v>12600</v>
      </c>
      <c r="G20">
        <v>11250</v>
      </c>
      <c r="I20">
        <v>13200</v>
      </c>
      <c r="K20">
        <v>13000</v>
      </c>
      <c r="N20">
        <f>3055+1041</f>
        <v>4096</v>
      </c>
      <c r="O20">
        <f>5046+925</f>
        <v>5971</v>
      </c>
      <c r="P20">
        <f>2924+824</f>
        <v>3748</v>
      </c>
      <c r="Q20">
        <f>4588+885</f>
        <v>5473</v>
      </c>
      <c r="R20">
        <f>6548+1033</f>
        <v>7581</v>
      </c>
      <c r="S20">
        <f>6065+1271</f>
        <v>7336</v>
      </c>
      <c r="T20">
        <f>6423+2093</f>
        <v>8516</v>
      </c>
      <c r="U20">
        <f>10171+1800</f>
        <v>11971</v>
      </c>
      <c r="V20">
        <f>5143+2674</f>
        <v>7817</v>
      </c>
      <c r="W20">
        <f>8164+2283</f>
        <v>10447</v>
      </c>
      <c r="X20">
        <f>10154+2081</f>
        <v>12235</v>
      </c>
      <c r="Y20">
        <f>8180+2223</f>
        <v>10403</v>
      </c>
      <c r="Z20">
        <f>10906+1653</f>
        <v>12559</v>
      </c>
      <c r="AA20">
        <f>6839+2040</f>
        <v>8879</v>
      </c>
      <c r="AB20">
        <f>8750+2437</f>
        <v>11187</v>
      </c>
      <c r="AC20">
        <f>8866+2401</f>
        <v>11267</v>
      </c>
      <c r="AD20">
        <v>7578</v>
      </c>
      <c r="AE20">
        <v>7843</v>
      </c>
      <c r="AF20">
        <v>7501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9" x14ac:dyDescent="0.3">
      <c r="B21" t="s">
        <v>10</v>
      </c>
      <c r="C21">
        <v>200000</v>
      </c>
      <c r="E21">
        <v>139550</v>
      </c>
      <c r="F21">
        <v>161950</v>
      </c>
      <c r="G21">
        <v>147300</v>
      </c>
      <c r="I21">
        <v>154100</v>
      </c>
      <c r="K21">
        <v>153000</v>
      </c>
      <c r="O21">
        <f>SUM(O17:O20)+40000</f>
        <v>89830</v>
      </c>
      <c r="P21">
        <f>SUM(P17:P20)+40000</f>
        <v>90620</v>
      </c>
      <c r="Q21">
        <v>91884</v>
      </c>
      <c r="R21">
        <v>121411</v>
      </c>
      <c r="S21">
        <v>124284</v>
      </c>
      <c r="T21">
        <v>95415</v>
      </c>
      <c r="U21">
        <v>137055</v>
      </c>
      <c r="V21">
        <v>136614</v>
      </c>
      <c r="W21">
        <v>131106</v>
      </c>
      <c r="X21">
        <v>120352</v>
      </c>
      <c r="Y21">
        <v>120183</v>
      </c>
      <c r="Z21">
        <v>120568</v>
      </c>
      <c r="AA21">
        <v>116223</v>
      </c>
      <c r="AB21">
        <v>112198</v>
      </c>
      <c r="AC21">
        <v>101416</v>
      </c>
      <c r="AD21">
        <f>SUM(AD17:AD20)</f>
        <v>97279</v>
      </c>
      <c r="AE21" s="1">
        <f>SUM(AE17:AE20)+33000</f>
        <v>91400.586690017517</v>
      </c>
      <c r="AF21" s="1">
        <f>SUM(AF17:AF20)+33000</f>
        <v>87553.338563749174</v>
      </c>
      <c r="AI21" s="1">
        <v>108452.99317396562</v>
      </c>
      <c r="AJ21" s="1">
        <v>102609.59595521379</v>
      </c>
      <c r="AK21" s="1">
        <v>86376.661441824632</v>
      </c>
      <c r="AL21" s="1">
        <v>74461.829445418087</v>
      </c>
      <c r="AM21" s="1">
        <v>68661.743708105481</v>
      </c>
      <c r="AN21" s="1">
        <v>88879.856338980593</v>
      </c>
      <c r="AO21" s="1">
        <v>83752.924951747453</v>
      </c>
      <c r="AP21" s="1">
        <v>82674.424336047057</v>
      </c>
      <c r="AQ21" s="1">
        <v>78576.792914342397</v>
      </c>
      <c r="AR21" s="1">
        <v>69420.062695924775</v>
      </c>
      <c r="AS21" s="1">
        <v>75611.285266457693</v>
      </c>
      <c r="AT21" s="1"/>
      <c r="AU21" s="1">
        <v>95188.087774294676</v>
      </c>
      <c r="AV21" s="1"/>
    </row>
    <row r="22" spans="1:49" x14ac:dyDescent="0.3">
      <c r="A22" t="s">
        <v>13</v>
      </c>
      <c r="B22" t="s">
        <v>6</v>
      </c>
      <c r="E22">
        <v>684</v>
      </c>
      <c r="F22">
        <v>785</v>
      </c>
      <c r="G22">
        <v>765</v>
      </c>
      <c r="H22">
        <v>612</v>
      </c>
      <c r="I22">
        <v>1040</v>
      </c>
      <c r="K22">
        <v>1200</v>
      </c>
      <c r="M22" t="s">
        <v>13</v>
      </c>
      <c r="Q22">
        <v>793</v>
      </c>
      <c r="R22">
        <v>1008</v>
      </c>
      <c r="S22">
        <v>1023</v>
      </c>
      <c r="T22">
        <v>1128</v>
      </c>
      <c r="U22">
        <v>1263</v>
      </c>
      <c r="V22">
        <v>926</v>
      </c>
      <c r="W22">
        <v>1050</v>
      </c>
      <c r="X22">
        <v>852</v>
      </c>
      <c r="Y22">
        <v>922</v>
      </c>
      <c r="Z22">
        <v>926</v>
      </c>
      <c r="AA22">
        <v>906</v>
      </c>
      <c r="AB22">
        <v>814</v>
      </c>
      <c r="AC22">
        <v>854</v>
      </c>
      <c r="AD22">
        <v>920</v>
      </c>
      <c r="AH22">
        <v>771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t="s">
        <v>13</v>
      </c>
    </row>
    <row r="23" spans="1:49" x14ac:dyDescent="0.3">
      <c r="B23" t="s">
        <v>7</v>
      </c>
      <c r="E23">
        <v>2320</v>
      </c>
      <c r="F23">
        <v>2638</v>
      </c>
      <c r="G23">
        <v>2510</v>
      </c>
      <c r="H23">
        <v>1089</v>
      </c>
      <c r="I23">
        <v>2600</v>
      </c>
      <c r="K23">
        <v>2500</v>
      </c>
      <c r="L23">
        <v>2653</v>
      </c>
      <c r="O23">
        <v>2764</v>
      </c>
      <c r="P23">
        <v>2834</v>
      </c>
      <c r="Q23">
        <v>2641</v>
      </c>
      <c r="R23">
        <v>3146</v>
      </c>
      <c r="S23">
        <v>3288</v>
      </c>
      <c r="T23">
        <v>2869</v>
      </c>
      <c r="U23">
        <v>3250</v>
      </c>
      <c r="V23">
        <v>3544</v>
      </c>
      <c r="W23">
        <v>3798</v>
      </c>
      <c r="X23">
        <v>3235</v>
      </c>
      <c r="Y23">
        <v>3248</v>
      </c>
      <c r="Z23">
        <v>3035</v>
      </c>
      <c r="AA23">
        <v>2866</v>
      </c>
      <c r="AB23">
        <v>2749</v>
      </c>
      <c r="AC23">
        <v>2761</v>
      </c>
      <c r="AD23">
        <v>3058</v>
      </c>
      <c r="AE23" s="1">
        <f>AD23*1657/1859</f>
        <v>2725.7159763313612</v>
      </c>
      <c r="AF23" s="1">
        <f>AE23*1709/1531</f>
        <v>3042.6182910191355</v>
      </c>
      <c r="AG23" s="1">
        <f>AF23*2115/2080</f>
        <v>3093.8161949545538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9" x14ac:dyDescent="0.3">
      <c r="B24" t="s">
        <v>8</v>
      </c>
      <c r="E24">
        <v>255</v>
      </c>
      <c r="G24">
        <v>320</v>
      </c>
      <c r="H24">
        <v>341</v>
      </c>
      <c r="I24">
        <v>415</v>
      </c>
      <c r="K24">
        <v>415</v>
      </c>
      <c r="N24">
        <f>51+117+289</f>
        <v>457</v>
      </c>
      <c r="O24">
        <f>40+107+305</f>
        <v>452</v>
      </c>
      <c r="P24">
        <f>96+141+354</f>
        <v>591</v>
      </c>
      <c r="Q24">
        <f>113+105+362</f>
        <v>580</v>
      </c>
      <c r="R24">
        <f>113+145+409</f>
        <v>667</v>
      </c>
      <c r="S24">
        <f>145+209+366</f>
        <v>720</v>
      </c>
      <c r="T24">
        <f>131+162+283</f>
        <v>576</v>
      </c>
      <c r="U24">
        <f>131+144+373</f>
        <v>648</v>
      </c>
      <c r="V24">
        <f>138+175+410</f>
        <v>723</v>
      </c>
      <c r="W24">
        <f>89+141+510</f>
        <v>740</v>
      </c>
      <c r="X24">
        <f>130+142+348</f>
        <v>620</v>
      </c>
      <c r="Y24">
        <f>192+155+299</f>
        <v>646</v>
      </c>
      <c r="Z24">
        <f>143+175+375</f>
        <v>693</v>
      </c>
      <c r="AA24">
        <f>152+149+392</f>
        <v>693</v>
      </c>
      <c r="AB24">
        <f>179+179+399</f>
        <v>757</v>
      </c>
      <c r="AC24">
        <f>109+240+279</f>
        <v>628</v>
      </c>
      <c r="AD24">
        <v>669</v>
      </c>
      <c r="AE24" s="1">
        <v>772</v>
      </c>
      <c r="AF24" s="1">
        <f>AE24*335/483</f>
        <v>535.44513457556934</v>
      </c>
      <c r="AG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9" x14ac:dyDescent="0.3">
      <c r="B25" t="s">
        <v>9</v>
      </c>
      <c r="E25">
        <v>55</v>
      </c>
      <c r="G25">
        <v>52</v>
      </c>
      <c r="H25">
        <v>123</v>
      </c>
      <c r="I25">
        <v>70</v>
      </c>
      <c r="K25">
        <v>70</v>
      </c>
      <c r="N25">
        <f>35+53</f>
        <v>88</v>
      </c>
      <c r="O25">
        <f>42+56</f>
        <v>98</v>
      </c>
      <c r="P25">
        <f>43+45</f>
        <v>88</v>
      </c>
      <c r="Q25">
        <f>60+48</f>
        <v>108</v>
      </c>
      <c r="R25">
        <f>60+78</f>
        <v>138</v>
      </c>
      <c r="S25">
        <f>59+85</f>
        <v>144</v>
      </c>
      <c r="T25">
        <f>72+78</f>
        <v>150</v>
      </c>
      <c r="U25">
        <f>99+81</f>
        <v>180</v>
      </c>
      <c r="V25">
        <f>49+76</f>
        <v>125</v>
      </c>
      <c r="W25">
        <f>100+71</f>
        <v>171</v>
      </c>
      <c r="X25">
        <f>162+94</f>
        <v>256</v>
      </c>
      <c r="Y25">
        <f>121+93</f>
        <v>214</v>
      </c>
      <c r="Z25">
        <f>87+120</f>
        <v>207</v>
      </c>
      <c r="AA25">
        <f>126+128</f>
        <v>254</v>
      </c>
      <c r="AB25">
        <f>134+82</f>
        <v>216</v>
      </c>
      <c r="AC25">
        <f>173+184</f>
        <v>357</v>
      </c>
      <c r="AD25">
        <v>247</v>
      </c>
      <c r="AE25" s="1">
        <v>310</v>
      </c>
      <c r="AF25" s="1">
        <v>259</v>
      </c>
      <c r="AG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9" x14ac:dyDescent="0.3">
      <c r="B26" t="s">
        <v>10</v>
      </c>
      <c r="C26">
        <v>2975</v>
      </c>
      <c r="E26">
        <v>3314</v>
      </c>
      <c r="F26">
        <v>3870</v>
      </c>
      <c r="G26">
        <v>3647</v>
      </c>
      <c r="H26">
        <f>SUM(H22:H25)</f>
        <v>2165</v>
      </c>
      <c r="I26">
        <v>4125</v>
      </c>
      <c r="K26">
        <v>4185</v>
      </c>
      <c r="O26">
        <f>SUM(O22:O25)+1000</f>
        <v>4314</v>
      </c>
      <c r="P26">
        <f>SUM(P22:P25)+1000</f>
        <v>4513</v>
      </c>
      <c r="Q26">
        <v>4122</v>
      </c>
      <c r="R26">
        <v>4959</v>
      </c>
      <c r="S26">
        <v>5175</v>
      </c>
      <c r="T26">
        <v>4723</v>
      </c>
      <c r="U26">
        <v>5341</v>
      </c>
      <c r="V26">
        <v>5318</v>
      </c>
      <c r="W26">
        <v>5759</v>
      </c>
      <c r="X26">
        <v>4963</v>
      </c>
      <c r="Y26">
        <v>5030</v>
      </c>
      <c r="Z26">
        <v>4861</v>
      </c>
      <c r="AA26">
        <v>4719</v>
      </c>
      <c r="AB26">
        <v>4536</v>
      </c>
      <c r="AC26">
        <v>4600</v>
      </c>
      <c r="AD26">
        <f>SUM(AD22:AD25)</f>
        <v>4894</v>
      </c>
      <c r="AE26" s="1">
        <f>SUM(AE22:AE25)+860</f>
        <v>4667.7159763313612</v>
      </c>
      <c r="AF26" s="1">
        <f>SUM(AF22:AF25)+860</f>
        <v>4697.0634255947043</v>
      </c>
      <c r="AI26" s="1">
        <v>6358.4773251051874</v>
      </c>
      <c r="AJ26" s="1">
        <v>5343.092573964359</v>
      </c>
      <c r="AK26" s="1">
        <v>5195.2210082642387</v>
      </c>
      <c r="AL26" s="1">
        <v>6129.9485417504557</v>
      </c>
      <c r="AM26" s="1">
        <v>5430.9193220771576</v>
      </c>
      <c r="AN26" s="1">
        <v>5740.1053230865009</v>
      </c>
      <c r="AO26" s="1">
        <v>5551.9051485590744</v>
      </c>
      <c r="AP26" s="1">
        <v>5265.2839643935813</v>
      </c>
      <c r="AQ26" s="1">
        <v>5268.6446817958567</v>
      </c>
      <c r="AR26" s="1">
        <v>3800</v>
      </c>
      <c r="AS26" s="1">
        <v>3704.545454545455</v>
      </c>
      <c r="AT26" s="1"/>
      <c r="AU26" s="1">
        <v>3281.818181818182</v>
      </c>
      <c r="AV26" s="1"/>
    </row>
    <row r="27" spans="1:49" x14ac:dyDescent="0.3">
      <c r="A27" t="s">
        <v>14</v>
      </c>
      <c r="B27" t="s">
        <v>6</v>
      </c>
      <c r="E27">
        <v>1530</v>
      </c>
      <c r="F27">
        <v>1480</v>
      </c>
      <c r="G27">
        <v>1110</v>
      </c>
      <c r="H27">
        <v>672</v>
      </c>
      <c r="I27">
        <v>2000</v>
      </c>
      <c r="K27">
        <v>2700</v>
      </c>
      <c r="M27" t="s">
        <v>14</v>
      </c>
      <c r="Q27">
        <v>2304</v>
      </c>
      <c r="R27">
        <v>2122</v>
      </c>
      <c r="S27">
        <v>1981</v>
      </c>
      <c r="T27">
        <v>1551</v>
      </c>
      <c r="U27">
        <v>2370</v>
      </c>
      <c r="V27">
        <v>2141</v>
      </c>
      <c r="W27">
        <v>2559</v>
      </c>
      <c r="X27">
        <v>1892</v>
      </c>
      <c r="Y27">
        <v>1757</v>
      </c>
      <c r="Z27">
        <v>2100</v>
      </c>
      <c r="AA27">
        <v>1491</v>
      </c>
      <c r="AB27">
        <v>1419</v>
      </c>
      <c r="AC27">
        <v>1488</v>
      </c>
      <c r="AD27">
        <v>993</v>
      </c>
      <c r="AH27">
        <v>883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t="s">
        <v>14</v>
      </c>
    </row>
    <row r="28" spans="1:49" x14ac:dyDescent="0.3">
      <c r="B28" t="s">
        <v>7</v>
      </c>
      <c r="E28">
        <v>1950</v>
      </c>
      <c r="F28">
        <v>2380</v>
      </c>
      <c r="G28">
        <v>2000</v>
      </c>
      <c r="H28">
        <v>564</v>
      </c>
      <c r="I28">
        <v>2450</v>
      </c>
      <c r="K28">
        <v>3000</v>
      </c>
      <c r="L28">
        <v>4022</v>
      </c>
      <c r="O28">
        <v>3362</v>
      </c>
      <c r="P28">
        <v>3488</v>
      </c>
      <c r="Q28">
        <v>3060</v>
      </c>
      <c r="R28">
        <v>3956</v>
      </c>
      <c r="S28">
        <v>4113</v>
      </c>
      <c r="T28">
        <v>2468</v>
      </c>
      <c r="U28">
        <v>3201</v>
      </c>
      <c r="V28">
        <v>4493</v>
      </c>
      <c r="W28">
        <v>4301</v>
      </c>
      <c r="X28">
        <v>3940</v>
      </c>
      <c r="Y28">
        <v>3681</v>
      </c>
      <c r="Z28">
        <v>2593</v>
      </c>
      <c r="AA28">
        <v>2320</v>
      </c>
      <c r="AB28">
        <v>2194</v>
      </c>
      <c r="AC28">
        <v>1589</v>
      </c>
      <c r="AD28" s="2">
        <v>1482</v>
      </c>
      <c r="AE28" s="2">
        <v>1263</v>
      </c>
      <c r="AF28" s="2">
        <v>1176</v>
      </c>
      <c r="AG28" s="2">
        <v>1402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9" x14ac:dyDescent="0.3">
      <c r="B29" t="s">
        <v>8</v>
      </c>
      <c r="E29">
        <v>950</v>
      </c>
      <c r="G29">
        <v>940</v>
      </c>
      <c r="H29">
        <v>1547</v>
      </c>
      <c r="I29">
        <v>1400</v>
      </c>
      <c r="K29">
        <v>1550</v>
      </c>
      <c r="N29">
        <f>282+684+533</f>
        <v>1499</v>
      </c>
      <c r="O29">
        <f>425+619+558</f>
        <v>1602</v>
      </c>
      <c r="P29">
        <f>521+893+711</f>
        <v>2125</v>
      </c>
      <c r="Q29">
        <f>458+786+809</f>
        <v>2053</v>
      </c>
      <c r="R29">
        <f>685+1312+927</f>
        <v>2924</v>
      </c>
      <c r="S29">
        <f>726+1138+1028</f>
        <v>2892</v>
      </c>
      <c r="T29">
        <f>509+768+444</f>
        <v>1721</v>
      </c>
      <c r="U29">
        <f>741+541+463</f>
        <v>1745</v>
      </c>
      <c r="V29">
        <f>775+909+778</f>
        <v>2462</v>
      </c>
      <c r="W29">
        <f>937+883+623</f>
        <v>2443</v>
      </c>
      <c r="X29">
        <f>551+623+528</f>
        <v>1702</v>
      </c>
      <c r="Y29">
        <f>658+538+506</f>
        <v>1702</v>
      </c>
      <c r="Z29">
        <f>423+539+307</f>
        <v>1269</v>
      </c>
      <c r="AA29">
        <f>445+344+353</f>
        <v>1142</v>
      </c>
      <c r="AB29">
        <f>209+351+260</f>
        <v>820</v>
      </c>
      <c r="AC29">
        <f>232+304+168</f>
        <v>704</v>
      </c>
      <c r="AD29" s="2">
        <v>512</v>
      </c>
      <c r="AE29" s="2">
        <v>455</v>
      </c>
      <c r="AF29" s="3">
        <f>AE29*240/234</f>
        <v>466.66666666666669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9" x14ac:dyDescent="0.3">
      <c r="B30" t="s">
        <v>9</v>
      </c>
      <c r="E30">
        <v>1100</v>
      </c>
      <c r="G30">
        <v>940</v>
      </c>
      <c r="H30">
        <v>1174</v>
      </c>
      <c r="I30">
        <v>1350</v>
      </c>
      <c r="K30">
        <v>1450</v>
      </c>
      <c r="N30">
        <f>564+509</f>
        <v>1073</v>
      </c>
      <c r="O30">
        <f>680+261</f>
        <v>941</v>
      </c>
      <c r="P30">
        <f>527+334</f>
        <v>861</v>
      </c>
      <c r="Q30">
        <f>738+338</f>
        <v>1076</v>
      </c>
      <c r="R30">
        <f>852+433</f>
        <v>1285</v>
      </c>
      <c r="S30">
        <f>868+533</f>
        <v>1401</v>
      </c>
      <c r="T30">
        <f>797+468</f>
        <v>1265</v>
      </c>
      <c r="U30">
        <f>964+381</f>
        <v>1345</v>
      </c>
      <c r="V30">
        <f>890+446</f>
        <v>1336</v>
      </c>
      <c r="W30">
        <f>963+494</f>
        <v>1457</v>
      </c>
      <c r="X30">
        <f>950+302</f>
        <v>1252</v>
      </c>
      <c r="Y30">
        <f>675+399</f>
        <v>1074</v>
      </c>
      <c r="Z30">
        <f>783+190</f>
        <v>973</v>
      </c>
      <c r="AA30">
        <f>693+321</f>
        <v>1014</v>
      </c>
      <c r="AB30">
        <f>121+152</f>
        <v>273</v>
      </c>
      <c r="AC30">
        <f>116+70</f>
        <v>186</v>
      </c>
      <c r="AD30" s="2">
        <v>140</v>
      </c>
      <c r="AE30" s="2">
        <v>141</v>
      </c>
      <c r="AF30" s="2">
        <v>157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9" x14ac:dyDescent="0.3">
      <c r="B31" t="s">
        <v>10</v>
      </c>
      <c r="C31">
        <v>6875</v>
      </c>
      <c r="E31">
        <v>5530</v>
      </c>
      <c r="F31">
        <v>6520</v>
      </c>
      <c r="G31">
        <v>4990</v>
      </c>
      <c r="H31">
        <f>SUM(H27:H30)</f>
        <v>3957</v>
      </c>
      <c r="I31">
        <v>7200</v>
      </c>
      <c r="K31">
        <v>8700</v>
      </c>
      <c r="O31">
        <f>SUM(O27:O30)+2500</f>
        <v>8405</v>
      </c>
      <c r="P31">
        <f>SUM(P27:P30)+2500</f>
        <v>8974</v>
      </c>
      <c r="Q31">
        <v>8493</v>
      </c>
      <c r="R31">
        <v>10287</v>
      </c>
      <c r="S31">
        <v>10387</v>
      </c>
      <c r="T31">
        <v>7005</v>
      </c>
      <c r="U31">
        <v>8661</v>
      </c>
      <c r="V31">
        <v>10432</v>
      </c>
      <c r="W31">
        <v>10760</v>
      </c>
      <c r="X31">
        <v>8786</v>
      </c>
      <c r="Y31">
        <v>8214</v>
      </c>
      <c r="Z31">
        <v>6935</v>
      </c>
      <c r="AA31">
        <v>5967</v>
      </c>
      <c r="AB31">
        <v>4706</v>
      </c>
      <c r="AC31">
        <v>3967</v>
      </c>
      <c r="AD31">
        <f>SUM(AD27:AD30)</f>
        <v>3127</v>
      </c>
      <c r="AE31" s="1">
        <f>SUM(AE27:AE30)+1300</f>
        <v>3159</v>
      </c>
      <c r="AF31" s="1">
        <f>SUM(AF27:AF30)+1300</f>
        <v>3099.666666666667</v>
      </c>
      <c r="AI31" s="1">
        <v>4358.2571481386276</v>
      </c>
      <c r="AJ31" s="1">
        <v>3891.73948157731</v>
      </c>
      <c r="AK31" s="1">
        <v>3977.6769464701838</v>
      </c>
      <c r="AL31" s="1">
        <v>4654.0159558868318</v>
      </c>
      <c r="AM31" s="1">
        <v>4202.0072119697652</v>
      </c>
      <c r="AN31" s="1">
        <v>5357.1406686467126</v>
      </c>
      <c r="AO31" s="1">
        <v>5340.399604057191</v>
      </c>
      <c r="AP31" s="1">
        <v>5671.0356297002309</v>
      </c>
      <c r="AQ31" s="1">
        <v>8169.6395196862359</v>
      </c>
      <c r="AR31" s="1">
        <v>5892.5619834710742</v>
      </c>
      <c r="AS31" s="1">
        <v>6867.7685950413224</v>
      </c>
      <c r="AT31" s="1"/>
      <c r="AU31" s="1">
        <v>6628.0991735537182</v>
      </c>
      <c r="AV31" s="1"/>
    </row>
    <row r="32" spans="1:49" x14ac:dyDescent="0.3">
      <c r="A32" t="s">
        <v>15</v>
      </c>
      <c r="B32" t="s">
        <v>6</v>
      </c>
      <c r="E32">
        <v>452</v>
      </c>
      <c r="F32">
        <v>682</v>
      </c>
      <c r="G32">
        <v>395</v>
      </c>
      <c r="H32">
        <v>214</v>
      </c>
      <c r="I32">
        <v>540</v>
      </c>
      <c r="K32">
        <v>500</v>
      </c>
      <c r="M32" t="s">
        <v>15</v>
      </c>
      <c r="Q32">
        <v>444</v>
      </c>
      <c r="R32">
        <v>382</v>
      </c>
      <c r="S32">
        <v>365</v>
      </c>
      <c r="T32">
        <v>312</v>
      </c>
      <c r="U32">
        <v>470</v>
      </c>
      <c r="V32">
        <v>503</v>
      </c>
      <c r="W32">
        <v>423</v>
      </c>
      <c r="X32">
        <v>496</v>
      </c>
      <c r="Y32">
        <v>449</v>
      </c>
      <c r="Z32">
        <v>454</v>
      </c>
      <c r="AA32">
        <v>354</v>
      </c>
      <c r="AB32">
        <v>307</v>
      </c>
      <c r="AC32">
        <v>256</v>
      </c>
      <c r="AD32" s="1">
        <f>AC32*135/198</f>
        <v>174.54545454545453</v>
      </c>
      <c r="AE32" s="1"/>
      <c r="AF32" s="1"/>
      <c r="AG32" s="1"/>
      <c r="AH32">
        <v>248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t="s">
        <v>15</v>
      </c>
    </row>
    <row r="33" spans="1:49" x14ac:dyDescent="0.3">
      <c r="B33" t="s">
        <v>7</v>
      </c>
      <c r="E33">
        <v>1325</v>
      </c>
      <c r="F33">
        <v>1225</v>
      </c>
      <c r="G33">
        <v>890</v>
      </c>
      <c r="H33">
        <v>483</v>
      </c>
      <c r="I33">
        <v>1070</v>
      </c>
      <c r="K33">
        <v>1100</v>
      </c>
      <c r="L33">
        <v>905</v>
      </c>
      <c r="O33">
        <v>1026</v>
      </c>
      <c r="P33">
        <v>1008</v>
      </c>
      <c r="Q33">
        <v>1039</v>
      </c>
      <c r="R33">
        <v>1506</v>
      </c>
      <c r="S33">
        <v>1486</v>
      </c>
      <c r="T33">
        <v>1044</v>
      </c>
      <c r="U33">
        <v>1222</v>
      </c>
      <c r="V33">
        <v>2081</v>
      </c>
      <c r="W33">
        <v>1629</v>
      </c>
      <c r="X33">
        <v>1504</v>
      </c>
      <c r="Y33">
        <v>1690</v>
      </c>
      <c r="Z33">
        <v>1494</v>
      </c>
      <c r="AA33">
        <v>1635</v>
      </c>
      <c r="AB33">
        <v>1051</v>
      </c>
      <c r="AC33">
        <v>723</v>
      </c>
      <c r="AD33" s="1">
        <f>AC33*698/668</f>
        <v>755.47005988023955</v>
      </c>
      <c r="AE33" s="1">
        <f>AD33*363/436</f>
        <v>628.98080673515358</v>
      </c>
      <c r="AF33" s="1">
        <f>AE33*190/373</f>
        <v>320.39236804203534</v>
      </c>
      <c r="AG33" s="1">
        <f>AF33*419/190</f>
        <v>706.54948531375157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9" x14ac:dyDescent="0.3">
      <c r="B34" t="s">
        <v>8</v>
      </c>
      <c r="E34">
        <v>820</v>
      </c>
      <c r="G34">
        <v>735</v>
      </c>
      <c r="H34">
        <v>1071</v>
      </c>
      <c r="I34">
        <v>1040</v>
      </c>
      <c r="K34">
        <v>1100</v>
      </c>
      <c r="N34">
        <f>172+290+241</f>
        <v>703</v>
      </c>
      <c r="O34">
        <f>251+297+226</f>
        <v>774</v>
      </c>
      <c r="P34">
        <f>214+470+257</f>
        <v>941</v>
      </c>
      <c r="Q34">
        <f>235+496+261</f>
        <v>992</v>
      </c>
      <c r="R34">
        <f>354+706+532</f>
        <v>1592</v>
      </c>
      <c r="S34">
        <f>597+621+605</f>
        <v>1823</v>
      </c>
      <c r="T34">
        <f>350+601+282</f>
        <v>1233</v>
      </c>
      <c r="U34">
        <f>511+450+304</f>
        <v>1265</v>
      </c>
      <c r="V34">
        <f>665+725+469</f>
        <v>1859</v>
      </c>
      <c r="W34">
        <f>729+432+256</f>
        <v>1417</v>
      </c>
      <c r="X34">
        <f>598+327+444</f>
        <v>1369</v>
      </c>
      <c r="Y34">
        <f>447+365+351</f>
        <v>1163</v>
      </c>
      <c r="Z34">
        <f>383+267+169</f>
        <v>819</v>
      </c>
      <c r="AA34">
        <f>322+205+224</f>
        <v>751</v>
      </c>
      <c r="AB34">
        <f>329+190+245</f>
        <v>764</v>
      </c>
      <c r="AC34">
        <f>238+263+311</f>
        <v>812</v>
      </c>
      <c r="AD34" s="1">
        <f>AC34*329/780</f>
        <v>342.49743589743588</v>
      </c>
      <c r="AE34" s="1">
        <f>AD34*305/329</f>
        <v>317.5128205128205</v>
      </c>
      <c r="AF34" s="1">
        <f>AE34*135/219</f>
        <v>195.72708113804003</v>
      </c>
      <c r="AG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9" x14ac:dyDescent="0.3">
      <c r="B35" t="s">
        <v>9</v>
      </c>
      <c r="E35">
        <v>630</v>
      </c>
      <c r="G35">
        <v>470</v>
      </c>
      <c r="H35">
        <v>457</v>
      </c>
      <c r="I35">
        <v>450</v>
      </c>
      <c r="K35">
        <v>520</v>
      </c>
      <c r="N35">
        <f>56+68</f>
        <v>124</v>
      </c>
      <c r="O35">
        <f>170+72</f>
        <v>242</v>
      </c>
      <c r="P35">
        <f>110+96</f>
        <v>206</v>
      </c>
      <c r="Q35">
        <f>160+91</f>
        <v>251</v>
      </c>
      <c r="R35">
        <f>205+192</f>
        <v>397</v>
      </c>
      <c r="S35">
        <f>231+194</f>
        <v>425</v>
      </c>
      <c r="T35">
        <f>216+210</f>
        <v>426</v>
      </c>
      <c r="U35">
        <f>188+113</f>
        <v>301</v>
      </c>
      <c r="V35">
        <f>343+256</f>
        <v>599</v>
      </c>
      <c r="W35">
        <f>320+296</f>
        <v>616</v>
      </c>
      <c r="X35">
        <f>428+220</f>
        <v>648</v>
      </c>
      <c r="Y35">
        <f>314+180</f>
        <v>494</v>
      </c>
      <c r="Z35">
        <f>326+59</f>
        <v>385</v>
      </c>
      <c r="AA35">
        <f>363+100</f>
        <v>463</v>
      </c>
      <c r="AB35">
        <f>298+158</f>
        <v>456</v>
      </c>
      <c r="AC35">
        <f>200+42</f>
        <v>242</v>
      </c>
      <c r="AD35" s="1">
        <f>AC35*126/208</f>
        <v>146.59615384615384</v>
      </c>
      <c r="AE35" s="1">
        <f>AD35*155/126</f>
        <v>180.33653846153845</v>
      </c>
      <c r="AF35" s="1">
        <f>AE35*176/155</f>
        <v>204.76923076923075</v>
      </c>
      <c r="AG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9" x14ac:dyDescent="0.3">
      <c r="B36" t="s">
        <v>10</v>
      </c>
      <c r="C36">
        <v>4085</v>
      </c>
      <c r="E36">
        <v>3227</v>
      </c>
      <c r="F36">
        <v>3307</v>
      </c>
      <c r="G36">
        <v>2490</v>
      </c>
      <c r="H36">
        <f>SUM(H32:H35)</f>
        <v>2225</v>
      </c>
      <c r="I36">
        <v>3100</v>
      </c>
      <c r="K36">
        <v>3220</v>
      </c>
      <c r="O36">
        <f>SUM(O32:O35)+450</f>
        <v>2492</v>
      </c>
      <c r="P36">
        <f>SUM(P32:P35)+450</f>
        <v>2605</v>
      </c>
      <c r="Q36">
        <v>2726</v>
      </c>
      <c r="R36">
        <v>3877</v>
      </c>
      <c r="S36">
        <v>4099</v>
      </c>
      <c r="T36">
        <v>3015</v>
      </c>
      <c r="U36">
        <v>3258</v>
      </c>
      <c r="V36">
        <v>5042</v>
      </c>
      <c r="W36">
        <v>4085</v>
      </c>
      <c r="X36">
        <v>4017</v>
      </c>
      <c r="Y36">
        <v>3796</v>
      </c>
      <c r="Z36">
        <v>3152</v>
      </c>
      <c r="AA36">
        <v>3203</v>
      </c>
      <c r="AB36">
        <v>2578</v>
      </c>
      <c r="AC36">
        <v>2033</v>
      </c>
      <c r="AD36" s="1">
        <f>SUM(AD32:AD35)</f>
        <v>1419.1091041692837</v>
      </c>
      <c r="AE36" s="1">
        <f>SUM(AE32:AE35)+240</f>
        <v>1366.8301657095126</v>
      </c>
      <c r="AF36" s="1">
        <f>SUM(AF32:AF35)+240</f>
        <v>960.88867994930615</v>
      </c>
      <c r="AI36" s="1">
        <v>2216.6903731298444</v>
      </c>
      <c r="AJ36" s="1">
        <v>1303.9355136057907</v>
      </c>
      <c r="AK36" s="1">
        <v>1773.3522985038753</v>
      </c>
      <c r="AL36" s="1">
        <v>2516.0028432984464</v>
      </c>
      <c r="AM36" s="1">
        <v>2142.603128038606</v>
      </c>
      <c r="AN36" s="1">
        <v>2844.950211503543</v>
      </c>
      <c r="AO36" s="1">
        <v>2400.4267409561144</v>
      </c>
      <c r="AP36" s="1">
        <v>2915.4389332617784</v>
      </c>
      <c r="AQ36" s="1">
        <v>3064.6718126598435</v>
      </c>
      <c r="AR36" s="1">
        <v>2326.2032085561495</v>
      </c>
      <c r="AS36" s="1">
        <v>2771.8360071301245</v>
      </c>
      <c r="AT36" s="1"/>
      <c r="AU36" s="1">
        <v>2495.5436720142598</v>
      </c>
      <c r="AV36" s="1"/>
    </row>
    <row r="37" spans="1:49" x14ac:dyDescent="0.3">
      <c r="A37" t="s">
        <v>16</v>
      </c>
      <c r="B37" t="s">
        <v>6</v>
      </c>
      <c r="E37">
        <v>1040</v>
      </c>
      <c r="G37">
        <v>440</v>
      </c>
      <c r="I37">
        <v>620</v>
      </c>
      <c r="K37">
        <v>800</v>
      </c>
      <c r="M37" t="s">
        <v>16</v>
      </c>
      <c r="Q37">
        <v>1018</v>
      </c>
      <c r="R37">
        <v>1234</v>
      </c>
      <c r="S37">
        <v>1018</v>
      </c>
      <c r="T37">
        <v>357</v>
      </c>
      <c r="U37">
        <v>432</v>
      </c>
      <c r="V37">
        <v>686</v>
      </c>
      <c r="W37">
        <v>807</v>
      </c>
      <c r="X37">
        <v>551</v>
      </c>
      <c r="Y37">
        <v>574</v>
      </c>
      <c r="Z37">
        <v>497</v>
      </c>
      <c r="AA37">
        <v>562</v>
      </c>
      <c r="AB37">
        <v>354</v>
      </c>
      <c r="AC37">
        <v>408</v>
      </c>
      <c r="AD37">
        <v>184</v>
      </c>
      <c r="AH37">
        <v>383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t="s">
        <v>16</v>
      </c>
    </row>
    <row r="38" spans="1:49" x14ac:dyDescent="0.3">
      <c r="B38" t="s">
        <v>7</v>
      </c>
      <c r="E38">
        <v>2170</v>
      </c>
      <c r="G38">
        <v>1250</v>
      </c>
      <c r="I38">
        <v>1300</v>
      </c>
      <c r="K38">
        <v>2000</v>
      </c>
      <c r="L38">
        <v>1031</v>
      </c>
      <c r="O38">
        <v>1245</v>
      </c>
      <c r="P38">
        <v>1012</v>
      </c>
      <c r="Q38">
        <v>1465</v>
      </c>
      <c r="R38">
        <v>1937</v>
      </c>
      <c r="S38">
        <v>1515</v>
      </c>
      <c r="T38">
        <v>910</v>
      </c>
      <c r="U38">
        <v>1228</v>
      </c>
      <c r="V38">
        <v>1840</v>
      </c>
      <c r="W38">
        <v>1719</v>
      </c>
      <c r="X38">
        <v>1346</v>
      </c>
      <c r="Y38">
        <v>1372</v>
      </c>
      <c r="Z38">
        <v>1043</v>
      </c>
      <c r="AA38">
        <v>1103</v>
      </c>
      <c r="AB38">
        <v>976</v>
      </c>
      <c r="AC38">
        <v>644</v>
      </c>
      <c r="AD38">
        <v>268</v>
      </c>
      <c r="AE38" s="1">
        <f>AD38*119/141</f>
        <v>226.18439716312056</v>
      </c>
      <c r="AF38" s="1">
        <v>227</v>
      </c>
      <c r="AG38" s="1">
        <f>AF38*247/120</f>
        <v>467.24166666666667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9" x14ac:dyDescent="0.3">
      <c r="B39" t="s">
        <v>8</v>
      </c>
      <c r="E39">
        <v>670</v>
      </c>
      <c r="G39">
        <v>325</v>
      </c>
      <c r="I39">
        <v>630</v>
      </c>
      <c r="K39">
        <v>680</v>
      </c>
      <c r="N39">
        <f>61+53+192</f>
        <v>306</v>
      </c>
      <c r="O39">
        <f>112+123+302</f>
        <v>537</v>
      </c>
      <c r="P39">
        <f>135+99+305</f>
        <v>539</v>
      </c>
      <c r="Q39">
        <f>117+165+399</f>
        <v>681</v>
      </c>
      <c r="R39">
        <f>203+196+476</f>
        <v>875</v>
      </c>
      <c r="S39">
        <f>272+243+474</f>
        <v>989</v>
      </c>
      <c r="T39">
        <f>168+171+202</f>
        <v>541</v>
      </c>
      <c r="U39">
        <f>260+179+305</f>
        <v>744</v>
      </c>
      <c r="V39">
        <f>322+221+438</f>
        <v>981</v>
      </c>
      <c r="W39">
        <f>468+207+421</f>
        <v>1096</v>
      </c>
      <c r="X39">
        <f>264+167+252</f>
        <v>683</v>
      </c>
      <c r="Y39">
        <f>366+121+225</f>
        <v>712</v>
      </c>
      <c r="Z39">
        <f>288+39+213</f>
        <v>540</v>
      </c>
      <c r="AA39">
        <f>336+78+308</f>
        <v>722</v>
      </c>
      <c r="AB39">
        <f>287+67+276</f>
        <v>630</v>
      </c>
      <c r="AC39">
        <f>150+50+208</f>
        <v>408</v>
      </c>
      <c r="AD39">
        <v>181</v>
      </c>
      <c r="AE39" s="1">
        <v>83</v>
      </c>
      <c r="AF39" s="1">
        <f>AE39*33/61</f>
        <v>44.901639344262293</v>
      </c>
      <c r="AG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9" x14ac:dyDescent="0.3">
      <c r="B40" t="s">
        <v>9</v>
      </c>
      <c r="E40">
        <v>450</v>
      </c>
      <c r="G40">
        <v>140</v>
      </c>
      <c r="I40">
        <v>145</v>
      </c>
      <c r="K40">
        <v>270</v>
      </c>
      <c r="N40">
        <f>73+68</f>
        <v>141</v>
      </c>
      <c r="O40">
        <f>156+61</f>
        <v>217</v>
      </c>
      <c r="P40">
        <f>83+46</f>
        <v>129</v>
      </c>
      <c r="Q40">
        <f>89+58</f>
        <v>147</v>
      </c>
      <c r="R40">
        <f>220+88</f>
        <v>308</v>
      </c>
      <c r="S40">
        <f>212+70</f>
        <v>282</v>
      </c>
      <c r="T40">
        <f>189+42</f>
        <v>231</v>
      </c>
      <c r="U40">
        <f>289+104</f>
        <v>393</v>
      </c>
      <c r="V40">
        <f>194+119</f>
        <v>313</v>
      </c>
      <c r="W40">
        <f>349+77</f>
        <v>426</v>
      </c>
      <c r="X40">
        <f>272+129</f>
        <v>401</v>
      </c>
      <c r="Y40">
        <f>278+25</f>
        <v>303</v>
      </c>
      <c r="Z40">
        <f>431+33</f>
        <v>464</v>
      </c>
      <c r="AA40">
        <f>316+12</f>
        <v>328</v>
      </c>
      <c r="AB40">
        <f>185+14</f>
        <v>199</v>
      </c>
      <c r="AC40">
        <f>177+38</f>
        <v>215</v>
      </c>
      <c r="AD40">
        <v>88</v>
      </c>
      <c r="AE40" s="1">
        <v>63</v>
      </c>
      <c r="AF40" s="1">
        <v>55</v>
      </c>
      <c r="AG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9" x14ac:dyDescent="0.3">
      <c r="B41" t="s">
        <v>10</v>
      </c>
      <c r="E41">
        <v>4330</v>
      </c>
      <c r="F41">
        <v>2917</v>
      </c>
      <c r="G41">
        <v>2152</v>
      </c>
      <c r="I41">
        <v>2695</v>
      </c>
      <c r="K41">
        <v>3750</v>
      </c>
      <c r="O41">
        <f>SUM(O37:O40)+900</f>
        <v>2899</v>
      </c>
      <c r="P41">
        <f>SUM(P37:P40)+900</f>
        <v>2580</v>
      </c>
      <c r="Q41">
        <v>3311</v>
      </c>
      <c r="R41">
        <v>4354</v>
      </c>
      <c r="S41">
        <v>3804</v>
      </c>
      <c r="T41">
        <v>2039</v>
      </c>
      <c r="U41">
        <v>2797</v>
      </c>
      <c r="V41">
        <v>3820</v>
      </c>
      <c r="W41">
        <v>4048</v>
      </c>
      <c r="X41">
        <v>2981</v>
      </c>
      <c r="Y41">
        <v>2961</v>
      </c>
      <c r="Z41">
        <v>2544</v>
      </c>
      <c r="AA41">
        <v>2715</v>
      </c>
      <c r="AB41">
        <v>2159</v>
      </c>
      <c r="AC41">
        <v>1675</v>
      </c>
      <c r="AD41">
        <v>721</v>
      </c>
      <c r="AE41" s="1">
        <f>SUM(AE37:AE40)+300</f>
        <v>672.18439716312059</v>
      </c>
      <c r="AF41" s="1">
        <f>SUM(AF37:AF40)+300</f>
        <v>626.90163934426232</v>
      </c>
      <c r="AI41" s="1">
        <v>1807.320471259023</v>
      </c>
      <c r="AJ41" s="1">
        <v>1351.6934616979249</v>
      </c>
      <c r="AK41" s="1">
        <v>2703.3869233958494</v>
      </c>
      <c r="AL41" s="1">
        <v>1677.5358079294979</v>
      </c>
      <c r="AM41" s="1">
        <v>1460.0774624571559</v>
      </c>
      <c r="AN41" s="1">
        <v>942.31949704681676</v>
      </c>
      <c r="AO41" s="1">
        <v>1781.0874010115658</v>
      </c>
      <c r="AP41" s="1">
        <v>1563.6290555392234</v>
      </c>
      <c r="AQ41" s="1">
        <v>3252.2596770132286</v>
      </c>
      <c r="AR41" s="1">
        <v>1508.2644628099174</v>
      </c>
      <c r="AS41" s="1">
        <v>2572.3140495867774</v>
      </c>
      <c r="AT41" s="1"/>
      <c r="AU41" s="1">
        <v>2716.9421487603308</v>
      </c>
      <c r="AV41" s="1"/>
    </row>
    <row r="42" spans="1:49" x14ac:dyDescent="0.3">
      <c r="A42" t="s">
        <v>17</v>
      </c>
      <c r="B42" t="s">
        <v>6</v>
      </c>
      <c r="M42" t="s">
        <v>17</v>
      </c>
      <c r="Q42">
        <v>527</v>
      </c>
      <c r="R42">
        <v>505</v>
      </c>
      <c r="S42">
        <v>596</v>
      </c>
      <c r="T42">
        <v>606</v>
      </c>
      <c r="U42">
        <v>709</v>
      </c>
      <c r="V42">
        <v>738</v>
      </c>
      <c r="W42">
        <v>827</v>
      </c>
      <c r="X42">
        <v>781</v>
      </c>
      <c r="Y42">
        <v>1005</v>
      </c>
      <c r="Z42">
        <v>1008</v>
      </c>
      <c r="AA42">
        <v>1133</v>
      </c>
      <c r="AB42">
        <v>1313</v>
      </c>
      <c r="AC42">
        <v>1417</v>
      </c>
      <c r="AI42" s="1">
        <v>2280</v>
      </c>
      <c r="AJ42" s="1">
        <v>2128</v>
      </c>
      <c r="AK42" s="1">
        <v>1986</v>
      </c>
      <c r="AL42" s="1">
        <v>3457</v>
      </c>
      <c r="AM42" s="1">
        <v>3013</v>
      </c>
      <c r="AN42" s="1">
        <v>3208</v>
      </c>
      <c r="AO42" s="1">
        <v>3440</v>
      </c>
      <c r="AP42" s="1"/>
      <c r="AQ42" s="1"/>
      <c r="AR42" s="1"/>
      <c r="AS42" s="1"/>
      <c r="AT42" s="1"/>
      <c r="AU42" s="1"/>
      <c r="AV42" s="1"/>
      <c r="AW42" t="s">
        <v>17</v>
      </c>
    </row>
    <row r="43" spans="1:49" x14ac:dyDescent="0.3">
      <c r="B43" t="s">
        <v>7</v>
      </c>
      <c r="O43">
        <v>26</v>
      </c>
      <c r="P43">
        <v>58</v>
      </c>
      <c r="Q43">
        <v>47</v>
      </c>
      <c r="R43">
        <v>57</v>
      </c>
      <c r="S43">
        <v>76</v>
      </c>
      <c r="T43">
        <v>67</v>
      </c>
      <c r="U43">
        <v>104</v>
      </c>
      <c r="V43">
        <v>133</v>
      </c>
      <c r="W43">
        <v>186</v>
      </c>
      <c r="X43">
        <v>155</v>
      </c>
      <c r="Y43">
        <v>171</v>
      </c>
      <c r="Z43">
        <v>197</v>
      </c>
      <c r="AA43">
        <v>176</v>
      </c>
      <c r="AB43">
        <v>197</v>
      </c>
      <c r="AC43">
        <v>296</v>
      </c>
      <c r="AI43" s="1">
        <v>365</v>
      </c>
      <c r="AJ43" s="1">
        <v>747</v>
      </c>
      <c r="AK43" s="1">
        <v>448</v>
      </c>
      <c r="AL43" s="1">
        <v>1155</v>
      </c>
      <c r="AM43" s="1">
        <v>1238</v>
      </c>
      <c r="AN43" s="1">
        <v>1153</v>
      </c>
      <c r="AO43" s="1">
        <v>833</v>
      </c>
      <c r="AP43" s="1"/>
      <c r="AQ43" s="1"/>
      <c r="AR43" s="1"/>
      <c r="AS43" s="1"/>
      <c r="AT43" s="1"/>
      <c r="AU43" s="1"/>
      <c r="AV43" s="1"/>
    </row>
    <row r="44" spans="1:49" x14ac:dyDescent="0.3">
      <c r="B44" t="s">
        <v>8</v>
      </c>
      <c r="N44">
        <v>24</v>
      </c>
      <c r="O44">
        <v>19</v>
      </c>
      <c r="P44">
        <v>24</v>
      </c>
      <c r="Q44">
        <v>17</v>
      </c>
      <c r="R44">
        <v>26</v>
      </c>
      <c r="S44">
        <v>23</v>
      </c>
      <c r="T44">
        <v>40</v>
      </c>
      <c r="U44">
        <v>38</v>
      </c>
      <c r="V44">
        <v>28</v>
      </c>
      <c r="W44">
        <v>45</v>
      </c>
      <c r="X44">
        <v>63</v>
      </c>
      <c r="Y44">
        <v>31</v>
      </c>
      <c r="Z44">
        <v>48</v>
      </c>
      <c r="AA44">
        <v>50</v>
      </c>
      <c r="AB44">
        <v>34</v>
      </c>
      <c r="AC44">
        <v>73</v>
      </c>
      <c r="AI44" s="1">
        <v>125</v>
      </c>
      <c r="AJ44" s="1">
        <v>56</v>
      </c>
      <c r="AK44" s="1">
        <v>215</v>
      </c>
      <c r="AL44" s="1">
        <v>110</v>
      </c>
      <c r="AM44" s="1">
        <v>147</v>
      </c>
      <c r="AN44" s="1">
        <v>25</v>
      </c>
      <c r="AO44" s="1">
        <v>161</v>
      </c>
      <c r="AP44" s="1"/>
      <c r="AQ44" s="1"/>
      <c r="AR44" s="1"/>
      <c r="AS44" s="1"/>
      <c r="AT44" s="1"/>
      <c r="AU44" s="1"/>
      <c r="AV44" s="1"/>
    </row>
    <row r="45" spans="1:49" x14ac:dyDescent="0.3">
      <c r="B45" t="s">
        <v>9</v>
      </c>
      <c r="N45">
        <v>1</v>
      </c>
      <c r="O45">
        <v>3</v>
      </c>
      <c r="P45">
        <v>3</v>
      </c>
      <c r="Q45">
        <v>7</v>
      </c>
      <c r="R45">
        <v>14</v>
      </c>
      <c r="S45">
        <v>10</v>
      </c>
      <c r="T45">
        <v>13</v>
      </c>
      <c r="U45">
        <v>22</v>
      </c>
      <c r="V45">
        <v>20</v>
      </c>
      <c r="W45">
        <v>3</v>
      </c>
      <c r="X45">
        <v>18</v>
      </c>
      <c r="Y45">
        <v>22</v>
      </c>
      <c r="Z45">
        <v>31</v>
      </c>
      <c r="AA45">
        <v>22</v>
      </c>
      <c r="AB45">
        <v>20</v>
      </c>
      <c r="AC45">
        <v>17</v>
      </c>
      <c r="AI45" s="1">
        <v>77</v>
      </c>
      <c r="AJ45" s="1">
        <v>136</v>
      </c>
      <c r="AK45" s="1">
        <v>7</v>
      </c>
      <c r="AL45" s="1">
        <v>519</v>
      </c>
      <c r="AM45" s="1">
        <v>30</v>
      </c>
      <c r="AN45" s="1">
        <v>123</v>
      </c>
      <c r="AO45" s="1">
        <v>99</v>
      </c>
      <c r="AP45" s="1"/>
      <c r="AQ45" s="1"/>
      <c r="AR45" s="1"/>
      <c r="AS45" s="1"/>
      <c r="AT45" s="1"/>
      <c r="AU45" s="1"/>
      <c r="AV45" s="1"/>
    </row>
    <row r="46" spans="1:49" x14ac:dyDescent="0.3">
      <c r="B46" t="s">
        <v>10</v>
      </c>
      <c r="Q46">
        <f>SUM(Q42:Q45)</f>
        <v>598</v>
      </c>
      <c r="R46">
        <f t="shared" ref="R46:AC46" si="0">SUM(R42:R45)</f>
        <v>602</v>
      </c>
      <c r="S46">
        <f t="shared" si="0"/>
        <v>705</v>
      </c>
      <c r="T46">
        <f t="shared" si="0"/>
        <v>726</v>
      </c>
      <c r="U46">
        <f t="shared" si="0"/>
        <v>873</v>
      </c>
      <c r="V46">
        <f t="shared" si="0"/>
        <v>919</v>
      </c>
      <c r="W46">
        <f t="shared" si="0"/>
        <v>1061</v>
      </c>
      <c r="X46">
        <f t="shared" si="0"/>
        <v>1017</v>
      </c>
      <c r="Y46">
        <f t="shared" si="0"/>
        <v>1229</v>
      </c>
      <c r="Z46">
        <f t="shared" si="0"/>
        <v>1284</v>
      </c>
      <c r="AA46">
        <f t="shared" si="0"/>
        <v>1381</v>
      </c>
      <c r="AB46">
        <f t="shared" si="0"/>
        <v>1564</v>
      </c>
      <c r="AC46">
        <f t="shared" si="0"/>
        <v>1803</v>
      </c>
      <c r="AD46">
        <v>1871</v>
      </c>
      <c r="AI46" s="1">
        <v>2847</v>
      </c>
      <c r="AJ46" s="1">
        <v>3067</v>
      </c>
      <c r="AK46" s="1">
        <v>2656</v>
      </c>
      <c r="AL46" s="1">
        <v>5241</v>
      </c>
      <c r="AM46" s="1">
        <v>4428</v>
      </c>
      <c r="AN46" s="1">
        <v>4509</v>
      </c>
      <c r="AO46" s="1"/>
      <c r="AP46" s="1">
        <v>6942</v>
      </c>
      <c r="AQ46" s="1">
        <v>8876</v>
      </c>
      <c r="AR46" s="1"/>
      <c r="AS46" s="1"/>
      <c r="AT46" s="1"/>
      <c r="AU46" s="1"/>
      <c r="AV46" s="1"/>
    </row>
    <row r="47" spans="1:49" x14ac:dyDescent="0.3">
      <c r="A47" t="s">
        <v>18</v>
      </c>
      <c r="B47" t="s">
        <v>6</v>
      </c>
      <c r="E47">
        <v>278</v>
      </c>
      <c r="F47">
        <v>258</v>
      </c>
      <c r="G47">
        <v>250</v>
      </c>
      <c r="H47">
        <v>205</v>
      </c>
      <c r="I47">
        <v>310</v>
      </c>
      <c r="K47">
        <v>320</v>
      </c>
      <c r="M47" t="s">
        <v>18</v>
      </c>
      <c r="Q47">
        <v>351</v>
      </c>
      <c r="R47">
        <v>378</v>
      </c>
      <c r="S47">
        <v>365</v>
      </c>
      <c r="T47">
        <v>402</v>
      </c>
      <c r="U47">
        <v>323</v>
      </c>
      <c r="V47">
        <v>418</v>
      </c>
      <c r="W47">
        <v>343</v>
      </c>
      <c r="X47">
        <v>434</v>
      </c>
      <c r="Y47">
        <v>311</v>
      </c>
      <c r="Z47">
        <v>249</v>
      </c>
      <c r="AA47">
        <v>362</v>
      </c>
      <c r="AB47">
        <v>300</v>
      </c>
      <c r="AC47">
        <v>272</v>
      </c>
      <c r="AD47">
        <v>250</v>
      </c>
      <c r="AH47">
        <v>141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t="s">
        <v>18</v>
      </c>
    </row>
    <row r="48" spans="1:49" x14ac:dyDescent="0.3">
      <c r="B48" t="s">
        <v>7</v>
      </c>
      <c r="E48">
        <v>298</v>
      </c>
      <c r="F48">
        <v>270</v>
      </c>
      <c r="G48">
        <v>265</v>
      </c>
      <c r="H48">
        <v>114</v>
      </c>
      <c r="I48">
        <v>270</v>
      </c>
      <c r="K48">
        <v>250</v>
      </c>
      <c r="L48">
        <v>287</v>
      </c>
      <c r="O48">
        <v>285</v>
      </c>
      <c r="P48">
        <v>300</v>
      </c>
      <c r="Q48">
        <v>286</v>
      </c>
      <c r="R48">
        <v>317</v>
      </c>
      <c r="S48">
        <v>339</v>
      </c>
      <c r="T48">
        <v>277</v>
      </c>
      <c r="U48">
        <v>316</v>
      </c>
      <c r="V48">
        <v>327</v>
      </c>
      <c r="W48">
        <v>326</v>
      </c>
      <c r="X48">
        <v>405</v>
      </c>
      <c r="Y48">
        <v>427</v>
      </c>
      <c r="Z48">
        <v>233</v>
      </c>
      <c r="AA48">
        <v>420</v>
      </c>
      <c r="AB48">
        <v>302</v>
      </c>
      <c r="AC48">
        <v>277</v>
      </c>
      <c r="AD48">
        <v>293</v>
      </c>
      <c r="AE48" s="1">
        <f>AD48*87/104</f>
        <v>245.10576923076923</v>
      </c>
      <c r="AF48" s="1">
        <f>AE48*29/87</f>
        <v>81.70192307692308</v>
      </c>
      <c r="AG48" s="1">
        <f>AF48*47/29</f>
        <v>132.41346153846155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9" x14ac:dyDescent="0.3">
      <c r="B49" t="s">
        <v>8</v>
      </c>
      <c r="E49">
        <v>304</v>
      </c>
      <c r="G49">
        <v>310</v>
      </c>
      <c r="H49">
        <v>200</v>
      </c>
      <c r="I49">
        <v>330</v>
      </c>
      <c r="K49">
        <v>275</v>
      </c>
      <c r="N49">
        <f>224+46+185</f>
        <v>455</v>
      </c>
      <c r="O49">
        <f>257+45+209</f>
        <v>511</v>
      </c>
      <c r="P49">
        <f>280+79+232</f>
        <v>591</v>
      </c>
      <c r="Q49">
        <f>339+32+203</f>
        <v>574</v>
      </c>
      <c r="R49">
        <f>452+66+180</f>
        <v>698</v>
      </c>
      <c r="S49">
        <f>443+80+250</f>
        <v>773</v>
      </c>
      <c r="T49">
        <f>443+111+248</f>
        <v>802</v>
      </c>
      <c r="U49">
        <f>506+82+172</f>
        <v>760</v>
      </c>
      <c r="V49">
        <f>610+33+206</f>
        <v>849</v>
      </c>
      <c r="W49">
        <f>633+85+164</f>
        <v>882</v>
      </c>
      <c r="X49">
        <f>431+119+128</f>
        <v>678</v>
      </c>
      <c r="Y49">
        <f>517+68+118</f>
        <v>703</v>
      </c>
      <c r="Z49">
        <f>416+88+72</f>
        <v>576</v>
      </c>
      <c r="AA49">
        <f>461+45+67</f>
        <v>573</v>
      </c>
      <c r="AB49">
        <f>325+46+26</f>
        <v>397</v>
      </c>
      <c r="AC49">
        <f>316+23+56</f>
        <v>395</v>
      </c>
      <c r="AD49">
        <v>168</v>
      </c>
      <c r="AE49">
        <v>165</v>
      </c>
      <c r="AF49" s="1">
        <f>AE49*82/100</f>
        <v>135.30000000000001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9" x14ac:dyDescent="0.3">
      <c r="B50" t="s">
        <v>9</v>
      </c>
      <c r="E50">
        <v>188</v>
      </c>
      <c r="G50">
        <v>200</v>
      </c>
      <c r="H50">
        <v>165</v>
      </c>
      <c r="I50">
        <v>306</v>
      </c>
      <c r="K50">
        <v>285</v>
      </c>
      <c r="N50">
        <f>189+150</f>
        <v>339</v>
      </c>
      <c r="O50">
        <f>163+153</f>
        <v>316</v>
      </c>
      <c r="P50">
        <f>252+150</f>
        <v>402</v>
      </c>
      <c r="Q50">
        <f>226+193</f>
        <v>419</v>
      </c>
      <c r="R50">
        <f>320+148</f>
        <v>468</v>
      </c>
      <c r="S50">
        <f>332+203</f>
        <v>535</v>
      </c>
      <c r="T50">
        <f>404+240</f>
        <v>644</v>
      </c>
      <c r="U50">
        <f>338+180</f>
        <v>518</v>
      </c>
      <c r="V50">
        <f>407+239</f>
        <v>646</v>
      </c>
      <c r="W50">
        <f>396+160</f>
        <v>556</v>
      </c>
      <c r="X50">
        <f>484+195</f>
        <v>679</v>
      </c>
      <c r="Y50">
        <f>428+121</f>
        <v>549</v>
      </c>
      <c r="Z50">
        <f>370+198</f>
        <v>568</v>
      </c>
      <c r="AA50">
        <f>371+151</f>
        <v>522</v>
      </c>
      <c r="AB50">
        <f>335+109</f>
        <v>444</v>
      </c>
      <c r="AC50">
        <f>201+87</f>
        <v>288</v>
      </c>
      <c r="AD50">
        <v>168</v>
      </c>
      <c r="AE50">
        <v>165</v>
      </c>
      <c r="AF50" s="1">
        <f>AE50*79/101</f>
        <v>129.05940594059405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9" x14ac:dyDescent="0.3">
      <c r="B51" t="s">
        <v>10</v>
      </c>
      <c r="C51">
        <v>1236</v>
      </c>
      <c r="E51">
        <v>1068</v>
      </c>
      <c r="F51">
        <v>1033</v>
      </c>
      <c r="G51">
        <v>1030</v>
      </c>
      <c r="H51">
        <f>SUM(H47:H50)</f>
        <v>684</v>
      </c>
      <c r="I51">
        <v>1211</v>
      </c>
      <c r="K51">
        <v>1105</v>
      </c>
      <c r="Q51">
        <v>1630</v>
      </c>
      <c r="R51">
        <v>1861</v>
      </c>
      <c r="S51">
        <v>2012</v>
      </c>
      <c r="T51">
        <v>2125</v>
      </c>
      <c r="U51">
        <v>1917</v>
      </c>
      <c r="V51">
        <v>2240</v>
      </c>
      <c r="W51">
        <v>2107</v>
      </c>
      <c r="X51">
        <v>2196</v>
      </c>
      <c r="Y51">
        <v>1990</v>
      </c>
      <c r="Z51">
        <v>1626</v>
      </c>
      <c r="AA51">
        <v>1877</v>
      </c>
      <c r="AB51">
        <v>1443</v>
      </c>
      <c r="AC51">
        <v>1232</v>
      </c>
      <c r="AD51">
        <v>856</v>
      </c>
      <c r="AE51" s="1">
        <f>SUM(AE47:AE50)+250</f>
        <v>825.10576923076928</v>
      </c>
      <c r="AF51" s="1">
        <f>SUM(AF47:AF50)+250</f>
        <v>596.06132901751721</v>
      </c>
      <c r="AG51">
        <v>600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9" x14ac:dyDescent="0.3">
      <c r="A52" t="s">
        <v>19</v>
      </c>
      <c r="B52" t="s">
        <v>6</v>
      </c>
      <c r="E52">
        <v>30</v>
      </c>
      <c r="F52">
        <v>30</v>
      </c>
      <c r="G52">
        <v>30</v>
      </c>
      <c r="H52">
        <v>20</v>
      </c>
      <c r="I52">
        <v>30</v>
      </c>
      <c r="K52">
        <v>25</v>
      </c>
      <c r="M52" t="s">
        <v>19</v>
      </c>
      <c r="Q52">
        <v>4</v>
      </c>
      <c r="R52">
        <v>4</v>
      </c>
      <c r="S52">
        <v>12</v>
      </c>
      <c r="T52">
        <v>0</v>
      </c>
      <c r="U52">
        <v>14</v>
      </c>
      <c r="V52">
        <v>10</v>
      </c>
      <c r="W52">
        <v>1</v>
      </c>
      <c r="X52">
        <v>0</v>
      </c>
      <c r="Y52">
        <v>1</v>
      </c>
      <c r="Z52">
        <v>3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t="s">
        <v>19</v>
      </c>
    </row>
    <row r="53" spans="1:49" x14ac:dyDescent="0.3">
      <c r="B53" t="s">
        <v>7</v>
      </c>
      <c r="E53">
        <v>5</v>
      </c>
      <c r="F53">
        <v>5</v>
      </c>
      <c r="G53">
        <v>0</v>
      </c>
      <c r="H53">
        <v>0</v>
      </c>
      <c r="I53">
        <v>7</v>
      </c>
      <c r="K53">
        <v>0</v>
      </c>
      <c r="L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0</v>
      </c>
      <c r="U53">
        <v>1</v>
      </c>
      <c r="V53">
        <v>5</v>
      </c>
      <c r="W53">
        <v>20</v>
      </c>
      <c r="X53">
        <v>12</v>
      </c>
      <c r="Y53">
        <v>12</v>
      </c>
      <c r="Z53">
        <v>11</v>
      </c>
      <c r="AA53">
        <v>7</v>
      </c>
      <c r="AB53">
        <v>9</v>
      </c>
      <c r="AC53">
        <v>3</v>
      </c>
      <c r="AD53">
        <v>0</v>
      </c>
      <c r="AE53">
        <v>0</v>
      </c>
      <c r="AF53">
        <v>0</v>
      </c>
      <c r="AG53"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9" x14ac:dyDescent="0.3">
      <c r="B54" t="s">
        <v>8</v>
      </c>
      <c r="E54">
        <v>115</v>
      </c>
      <c r="G54">
        <v>118</v>
      </c>
      <c r="H54">
        <v>40</v>
      </c>
      <c r="I54">
        <v>125</v>
      </c>
      <c r="K54">
        <v>110</v>
      </c>
      <c r="N54">
        <f>23+113+15</f>
        <v>151</v>
      </c>
      <c r="O54">
        <f>23+106+9</f>
        <v>138</v>
      </c>
      <c r="P54">
        <f>28+121+7</f>
        <v>156</v>
      </c>
      <c r="Q54">
        <f>45+103+7</f>
        <v>155</v>
      </c>
      <c r="R54">
        <f>33+137+7</f>
        <v>177</v>
      </c>
      <c r="S54">
        <f>45+82+12</f>
        <v>139</v>
      </c>
      <c r="T54">
        <f>39+140</f>
        <v>179</v>
      </c>
      <c r="U54">
        <f>33+151+9</f>
        <v>193</v>
      </c>
      <c r="V54">
        <f>15+132+15</f>
        <v>162</v>
      </c>
      <c r="W54">
        <f>43+164+7</f>
        <v>214</v>
      </c>
      <c r="X54">
        <f>35+86+6</f>
        <v>127</v>
      </c>
      <c r="Y54">
        <f>22+31+4</f>
        <v>57</v>
      </c>
      <c r="Z54">
        <f>21+66+1</f>
        <v>88</v>
      </c>
      <c r="AA54">
        <f>16+38+1</f>
        <v>55</v>
      </c>
      <c r="AB54">
        <f>3+74</f>
        <v>77</v>
      </c>
      <c r="AC54">
        <f>2+23</f>
        <v>25</v>
      </c>
      <c r="AD54">
        <v>18</v>
      </c>
      <c r="AE54">
        <v>26</v>
      </c>
      <c r="AF54">
        <v>22</v>
      </c>
      <c r="AG54"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9" x14ac:dyDescent="0.3">
      <c r="B55" t="s">
        <v>9</v>
      </c>
      <c r="E55">
        <v>108</v>
      </c>
      <c r="G55">
        <v>124</v>
      </c>
      <c r="H55">
        <v>106</v>
      </c>
      <c r="I55">
        <v>178</v>
      </c>
      <c r="K55">
        <v>160</v>
      </c>
      <c r="N55">
        <f>32+111</f>
        <v>143</v>
      </c>
      <c r="O55">
        <f>17+117</f>
        <v>134</v>
      </c>
      <c r="P55">
        <f>17+114</f>
        <v>131</v>
      </c>
      <c r="Q55">
        <f>29+127</f>
        <v>156</v>
      </c>
      <c r="R55">
        <f>24+134</f>
        <v>158</v>
      </c>
      <c r="S55">
        <f>14+147</f>
        <v>161</v>
      </c>
      <c r="T55">
        <f>37+118</f>
        <v>155</v>
      </c>
      <c r="U55">
        <f>23+113</f>
        <v>136</v>
      </c>
      <c r="V55">
        <f>47+104</f>
        <v>151</v>
      </c>
      <c r="W55">
        <f>64+153</f>
        <v>217</v>
      </c>
      <c r="X55">
        <f>17+123</f>
        <v>140</v>
      </c>
      <c r="Y55">
        <f>23+83</f>
        <v>106</v>
      </c>
      <c r="Z55">
        <f>11+83</f>
        <v>94</v>
      </c>
      <c r="AA55">
        <f>21+84</f>
        <v>105</v>
      </c>
      <c r="AB55">
        <f>7+61</f>
        <v>68</v>
      </c>
      <c r="AC55">
        <f>6+34</f>
        <v>40</v>
      </c>
      <c r="AD55">
        <v>25</v>
      </c>
      <c r="AE55">
        <v>23</v>
      </c>
      <c r="AF55">
        <v>14</v>
      </c>
      <c r="AG55">
        <v>19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9" x14ac:dyDescent="0.3">
      <c r="B56" t="s">
        <v>10</v>
      </c>
      <c r="C56">
        <v>351</v>
      </c>
      <c r="E56">
        <v>278</v>
      </c>
      <c r="F56">
        <v>266</v>
      </c>
      <c r="G56">
        <v>272</v>
      </c>
      <c r="H56">
        <f>SUM(H52:H55)</f>
        <v>166</v>
      </c>
      <c r="I56">
        <v>333</v>
      </c>
      <c r="K56">
        <v>295</v>
      </c>
      <c r="N56">
        <v>294</v>
      </c>
      <c r="O56">
        <v>272</v>
      </c>
      <c r="P56">
        <v>287</v>
      </c>
      <c r="Q56">
        <v>315</v>
      </c>
      <c r="R56">
        <v>339</v>
      </c>
      <c r="S56">
        <v>313</v>
      </c>
      <c r="T56">
        <v>334</v>
      </c>
      <c r="U56">
        <v>344</v>
      </c>
      <c r="V56">
        <v>328</v>
      </c>
      <c r="W56">
        <v>452</v>
      </c>
      <c r="X56">
        <v>279</v>
      </c>
      <c r="Y56">
        <v>176</v>
      </c>
      <c r="Z56">
        <v>196</v>
      </c>
      <c r="AA56">
        <v>167</v>
      </c>
      <c r="AB56">
        <v>155</v>
      </c>
      <c r="AC56">
        <v>68</v>
      </c>
      <c r="AD56">
        <v>53</v>
      </c>
      <c r="AE56">
        <v>53</v>
      </c>
      <c r="AF56">
        <v>44</v>
      </c>
      <c r="AG56">
        <v>24</v>
      </c>
      <c r="AH56">
        <v>27</v>
      </c>
      <c r="AI56" s="1">
        <v>27</v>
      </c>
      <c r="AJ56" s="1">
        <v>25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9" x14ac:dyDescent="0.3">
      <c r="A57" t="s">
        <v>20</v>
      </c>
      <c r="B57" t="s">
        <v>6</v>
      </c>
      <c r="E57">
        <v>0</v>
      </c>
      <c r="F57">
        <v>0</v>
      </c>
      <c r="G57">
        <v>0</v>
      </c>
      <c r="H57">
        <v>0</v>
      </c>
      <c r="I57">
        <v>0</v>
      </c>
      <c r="K57">
        <v>0</v>
      </c>
      <c r="M57" t="s">
        <v>20</v>
      </c>
      <c r="Q57">
        <v>0</v>
      </c>
      <c r="R57">
        <v>0</v>
      </c>
      <c r="S57">
        <v>0</v>
      </c>
      <c r="T57">
        <v>8</v>
      </c>
      <c r="U57">
        <v>9</v>
      </c>
      <c r="V57">
        <v>2</v>
      </c>
      <c r="W57">
        <v>14</v>
      </c>
      <c r="X57">
        <v>12</v>
      </c>
      <c r="Y57">
        <v>14</v>
      </c>
      <c r="Z57">
        <v>19</v>
      </c>
      <c r="AA57">
        <v>52</v>
      </c>
      <c r="AB57">
        <v>19</v>
      </c>
      <c r="AC57">
        <v>2</v>
      </c>
      <c r="AD57">
        <v>11</v>
      </c>
      <c r="AE57">
        <v>0</v>
      </c>
      <c r="AF57">
        <v>0</v>
      </c>
      <c r="AH57">
        <v>10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t="s">
        <v>20</v>
      </c>
    </row>
    <row r="58" spans="1:49" x14ac:dyDescent="0.3">
      <c r="B58" t="s">
        <v>7</v>
      </c>
      <c r="E58">
        <v>88</v>
      </c>
      <c r="F58">
        <v>93</v>
      </c>
      <c r="G58">
        <v>60</v>
      </c>
      <c r="H58">
        <v>0</v>
      </c>
      <c r="I58">
        <v>80</v>
      </c>
      <c r="K58">
        <v>60</v>
      </c>
      <c r="L58">
        <v>90</v>
      </c>
      <c r="O58">
        <v>37</v>
      </c>
      <c r="P58">
        <v>39</v>
      </c>
      <c r="Q58">
        <v>38</v>
      </c>
      <c r="R58">
        <v>41</v>
      </c>
      <c r="S58">
        <v>45</v>
      </c>
      <c r="T58">
        <v>45</v>
      </c>
      <c r="U58">
        <v>46</v>
      </c>
      <c r="V58">
        <v>43</v>
      </c>
      <c r="W58">
        <v>49</v>
      </c>
      <c r="X58">
        <v>76</v>
      </c>
      <c r="Y58">
        <v>51</v>
      </c>
      <c r="Z58">
        <v>64</v>
      </c>
      <c r="AA58">
        <v>31</v>
      </c>
      <c r="AB58">
        <v>29</v>
      </c>
      <c r="AC58">
        <v>12</v>
      </c>
      <c r="AD58">
        <v>7</v>
      </c>
      <c r="AE58">
        <v>1</v>
      </c>
      <c r="AF58"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9" x14ac:dyDescent="0.3">
      <c r="B59" t="s">
        <v>8</v>
      </c>
      <c r="E59">
        <v>176</v>
      </c>
      <c r="G59">
        <v>210</v>
      </c>
      <c r="H59">
        <v>307</v>
      </c>
      <c r="I59">
        <v>280</v>
      </c>
      <c r="K59">
        <v>290</v>
      </c>
      <c r="N59">
        <f>28+348</f>
        <v>376</v>
      </c>
      <c r="O59">
        <f>31+373</f>
        <v>404</v>
      </c>
      <c r="P59">
        <f>25+426</f>
        <v>451</v>
      </c>
      <c r="Q59">
        <f>33+463</f>
        <v>496</v>
      </c>
      <c r="R59">
        <f>27+503</f>
        <v>530</v>
      </c>
      <c r="S59">
        <f>34+454</f>
        <v>488</v>
      </c>
      <c r="T59">
        <f>41+511</f>
        <v>552</v>
      </c>
      <c r="U59">
        <f>39+558</f>
        <v>597</v>
      </c>
      <c r="V59">
        <f>78+721</f>
        <v>799</v>
      </c>
      <c r="W59">
        <f>62+655</f>
        <v>717</v>
      </c>
      <c r="X59">
        <f>64+531</f>
        <v>595</v>
      </c>
      <c r="Y59">
        <f>93+402</f>
        <v>495</v>
      </c>
      <c r="Z59">
        <f>42+331</f>
        <v>373</v>
      </c>
      <c r="AA59">
        <f>69+339</f>
        <v>408</v>
      </c>
      <c r="AB59">
        <f>49+380</f>
        <v>429</v>
      </c>
      <c r="AC59">
        <f>32+259</f>
        <v>291</v>
      </c>
      <c r="AD59">
        <v>245</v>
      </c>
      <c r="AE59">
        <v>224</v>
      </c>
      <c r="AF59">
        <v>161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9" x14ac:dyDescent="0.3">
      <c r="B60" t="s">
        <v>9</v>
      </c>
      <c r="E60">
        <v>320</v>
      </c>
      <c r="G60">
        <v>225</v>
      </c>
      <c r="H60">
        <v>318</v>
      </c>
      <c r="I60">
        <v>275</v>
      </c>
      <c r="K60">
        <v>290</v>
      </c>
      <c r="N60">
        <f>26+173</f>
        <v>199</v>
      </c>
      <c r="O60">
        <f>57+156</f>
        <v>213</v>
      </c>
      <c r="P60">
        <f>87+205</f>
        <v>292</v>
      </c>
      <c r="Q60">
        <f>90+203</f>
        <v>293</v>
      </c>
      <c r="R60">
        <f>67+221</f>
        <v>288</v>
      </c>
      <c r="S60">
        <f>89+279</f>
        <v>368</v>
      </c>
      <c r="T60">
        <f>65+325</f>
        <v>390</v>
      </c>
      <c r="U60">
        <f>55+223</f>
        <v>278</v>
      </c>
      <c r="V60">
        <f>86+233</f>
        <v>319</v>
      </c>
      <c r="W60">
        <f>70+313</f>
        <v>383</v>
      </c>
      <c r="X60">
        <f>61+148</f>
        <v>209</v>
      </c>
      <c r="Y60">
        <f>65+213</f>
        <v>278</v>
      </c>
      <c r="Z60">
        <f>75+173</f>
        <v>248</v>
      </c>
      <c r="AA60">
        <f>37+183</f>
        <v>220</v>
      </c>
      <c r="AB60">
        <f>36+169</f>
        <v>205</v>
      </c>
      <c r="AC60">
        <f>18+148</f>
        <v>166</v>
      </c>
      <c r="AD60">
        <v>111</v>
      </c>
      <c r="AE60">
        <v>103</v>
      </c>
      <c r="AF60">
        <v>61</v>
      </c>
      <c r="AG60">
        <v>25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9" x14ac:dyDescent="0.3">
      <c r="B61" t="s">
        <v>10</v>
      </c>
      <c r="C61">
        <v>715</v>
      </c>
      <c r="E61">
        <v>584</v>
      </c>
      <c r="F61">
        <v>633</v>
      </c>
      <c r="G61">
        <v>494</v>
      </c>
      <c r="H61">
        <f>SUM(H57:H60)</f>
        <v>625</v>
      </c>
      <c r="I61">
        <v>635</v>
      </c>
      <c r="K61">
        <v>640</v>
      </c>
      <c r="N61">
        <v>613</v>
      </c>
      <c r="O61">
        <v>654</v>
      </c>
      <c r="P61">
        <v>782</v>
      </c>
      <c r="Q61">
        <v>828</v>
      </c>
      <c r="R61">
        <v>863</v>
      </c>
      <c r="S61">
        <v>903</v>
      </c>
      <c r="T61">
        <v>995</v>
      </c>
      <c r="U61">
        <v>930</v>
      </c>
      <c r="V61">
        <v>1163</v>
      </c>
      <c r="W61">
        <v>1163</v>
      </c>
      <c r="X61">
        <v>892</v>
      </c>
      <c r="Y61">
        <v>838</v>
      </c>
      <c r="Z61">
        <v>704</v>
      </c>
      <c r="AA61">
        <v>711</v>
      </c>
      <c r="AB61">
        <v>682</v>
      </c>
      <c r="AC61">
        <v>471</v>
      </c>
      <c r="AD61">
        <f>SUM(AD57:AD60)</f>
        <v>374</v>
      </c>
      <c r="AE61">
        <f>SUM(AE57:AE60)</f>
        <v>328</v>
      </c>
      <c r="AF61">
        <f>SUM(AF57:AF60)</f>
        <v>222</v>
      </c>
      <c r="AG61">
        <v>250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9" x14ac:dyDescent="0.3">
      <c r="A62" t="s">
        <v>21</v>
      </c>
      <c r="B62" t="s">
        <v>6</v>
      </c>
      <c r="E62">
        <v>0</v>
      </c>
      <c r="F62">
        <v>0</v>
      </c>
      <c r="G62">
        <v>0</v>
      </c>
      <c r="H62">
        <v>0</v>
      </c>
      <c r="I62">
        <v>0</v>
      </c>
      <c r="K62">
        <v>0</v>
      </c>
      <c r="M62" t="s">
        <v>21</v>
      </c>
      <c r="Q62">
        <v>5</v>
      </c>
      <c r="R62">
        <v>3</v>
      </c>
      <c r="S62">
        <v>0</v>
      </c>
      <c r="T62">
        <v>2</v>
      </c>
      <c r="U62">
        <v>0</v>
      </c>
      <c r="V62">
        <v>13</v>
      </c>
      <c r="W62">
        <v>18</v>
      </c>
      <c r="X62">
        <v>10</v>
      </c>
      <c r="Y62">
        <v>13</v>
      </c>
      <c r="Z62">
        <v>6</v>
      </c>
      <c r="AA62">
        <v>18</v>
      </c>
      <c r="AB62">
        <v>10</v>
      </c>
      <c r="AC62">
        <v>9</v>
      </c>
      <c r="AD62">
        <v>7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t="s">
        <v>21</v>
      </c>
    </row>
    <row r="63" spans="1:49" x14ac:dyDescent="0.3">
      <c r="B63" t="s">
        <v>7</v>
      </c>
      <c r="E63">
        <v>13</v>
      </c>
      <c r="F63">
        <v>14</v>
      </c>
      <c r="G63">
        <v>0</v>
      </c>
      <c r="H63">
        <v>1</v>
      </c>
      <c r="I63">
        <v>1</v>
      </c>
      <c r="K63">
        <v>0</v>
      </c>
      <c r="L63">
        <v>0</v>
      </c>
      <c r="O63">
        <v>0</v>
      </c>
      <c r="P63">
        <v>2</v>
      </c>
      <c r="Q63">
        <v>3</v>
      </c>
      <c r="R63">
        <v>2</v>
      </c>
      <c r="S63">
        <v>0</v>
      </c>
      <c r="T63">
        <v>7</v>
      </c>
      <c r="U63">
        <v>6</v>
      </c>
      <c r="V63">
        <v>9</v>
      </c>
      <c r="W63">
        <v>16</v>
      </c>
      <c r="X63">
        <v>14</v>
      </c>
      <c r="Y63">
        <v>8</v>
      </c>
      <c r="Z63">
        <v>7</v>
      </c>
      <c r="AA63">
        <v>34</v>
      </c>
      <c r="AB63">
        <v>7</v>
      </c>
      <c r="AC63">
        <v>4</v>
      </c>
      <c r="AD63">
        <v>12</v>
      </c>
      <c r="AE63">
        <v>0</v>
      </c>
      <c r="AF63">
        <v>5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9" x14ac:dyDescent="0.3">
      <c r="B64" t="s">
        <v>8</v>
      </c>
      <c r="E64">
        <v>195</v>
      </c>
      <c r="G64">
        <v>170</v>
      </c>
      <c r="H64">
        <v>248</v>
      </c>
      <c r="I64">
        <v>130</v>
      </c>
      <c r="K64">
        <v>180</v>
      </c>
      <c r="N64">
        <f>65+45+30</f>
        <v>140</v>
      </c>
      <c r="O64">
        <f>89+23+53</f>
        <v>165</v>
      </c>
      <c r="P64">
        <f>93+36+42</f>
        <v>171</v>
      </c>
      <c r="Q64">
        <f>90+64+45</f>
        <v>199</v>
      </c>
      <c r="R64">
        <f>185+69+46</f>
        <v>300</v>
      </c>
      <c r="S64">
        <f>148+88+60</f>
        <v>296</v>
      </c>
      <c r="T64">
        <f>187+65+47</f>
        <v>299</v>
      </c>
      <c r="U64">
        <f>179+83+43</f>
        <v>305</v>
      </c>
      <c r="V64">
        <f>205+98+50</f>
        <v>353</v>
      </c>
      <c r="W64">
        <f>201+122+44</f>
        <v>367</v>
      </c>
      <c r="X64">
        <f>171+234+34</f>
        <v>439</v>
      </c>
      <c r="Y64">
        <f>214+153+13</f>
        <v>380</v>
      </c>
      <c r="Z64">
        <f>117+57+25</f>
        <v>199</v>
      </c>
      <c r="AA64">
        <f>203+44+52</f>
        <v>299</v>
      </c>
      <c r="AB64">
        <f>128+42+23</f>
        <v>193</v>
      </c>
      <c r="AC64">
        <f>139+47+27</f>
        <v>213</v>
      </c>
      <c r="AD64">
        <v>165</v>
      </c>
      <c r="AE64">
        <v>197</v>
      </c>
      <c r="AF64">
        <v>116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9" x14ac:dyDescent="0.3">
      <c r="B65" t="s">
        <v>9</v>
      </c>
      <c r="E65">
        <v>160</v>
      </c>
      <c r="G65">
        <v>135</v>
      </c>
      <c r="H65">
        <v>190</v>
      </c>
      <c r="I65">
        <v>210</v>
      </c>
      <c r="K65">
        <v>245</v>
      </c>
      <c r="N65">
        <f>17+114</f>
        <v>131</v>
      </c>
      <c r="O65">
        <f>31+120</f>
        <v>151</v>
      </c>
      <c r="P65">
        <f>33+187</f>
        <v>220</v>
      </c>
      <c r="Q65">
        <f>76+207</f>
        <v>283</v>
      </c>
      <c r="R65">
        <f>89+165</f>
        <v>254</v>
      </c>
      <c r="S65">
        <f>97+173</f>
        <v>270</v>
      </c>
      <c r="T65">
        <f>156+189</f>
        <v>345</v>
      </c>
      <c r="U65">
        <f>267+165</f>
        <v>432</v>
      </c>
      <c r="V65">
        <f>230+260</f>
        <v>490</v>
      </c>
      <c r="W65">
        <f>178+278</f>
        <v>456</v>
      </c>
      <c r="X65">
        <f>351+182</f>
        <v>533</v>
      </c>
      <c r="Y65">
        <f>195+175</f>
        <v>370</v>
      </c>
      <c r="Z65">
        <f>260+167</f>
        <v>427</v>
      </c>
      <c r="AA65">
        <f>222+171</f>
        <v>393</v>
      </c>
      <c r="AB65">
        <f>145+94</f>
        <v>239</v>
      </c>
      <c r="AC65">
        <f>294+51</f>
        <v>345</v>
      </c>
      <c r="AD65">
        <v>312</v>
      </c>
      <c r="AE65">
        <v>243</v>
      </c>
      <c r="AF65">
        <v>228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9" x14ac:dyDescent="0.3">
      <c r="B66" t="s">
        <v>10</v>
      </c>
      <c r="C66">
        <v>540</v>
      </c>
      <c r="E66">
        <v>368</v>
      </c>
      <c r="F66">
        <v>349</v>
      </c>
      <c r="G66">
        <v>305</v>
      </c>
      <c r="H66">
        <f>SUM(H62:H65)</f>
        <v>439</v>
      </c>
      <c r="I66">
        <v>340</v>
      </c>
      <c r="K66">
        <v>425</v>
      </c>
      <c r="N66">
        <v>271</v>
      </c>
      <c r="O66">
        <v>316</v>
      </c>
      <c r="P66">
        <v>393</v>
      </c>
      <c r="Q66">
        <v>490</v>
      </c>
      <c r="R66">
        <v>559</v>
      </c>
      <c r="S66">
        <v>566</v>
      </c>
      <c r="T66">
        <v>653</v>
      </c>
      <c r="U66">
        <v>743</v>
      </c>
      <c r="V66">
        <v>865</v>
      </c>
      <c r="W66">
        <v>857</v>
      </c>
      <c r="X66">
        <v>996</v>
      </c>
      <c r="Y66">
        <v>771</v>
      </c>
      <c r="Z66">
        <v>639</v>
      </c>
      <c r="AA66">
        <v>744</v>
      </c>
      <c r="AB66">
        <v>449</v>
      </c>
      <c r="AC66">
        <v>571</v>
      </c>
      <c r="AD66">
        <v>496</v>
      </c>
      <c r="AE66">
        <v>440</v>
      </c>
      <c r="AF66">
        <v>349</v>
      </c>
      <c r="AG66">
        <v>360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9" x14ac:dyDescent="0.3"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9" x14ac:dyDescent="0.3">
      <c r="A68" t="s">
        <v>22</v>
      </c>
      <c r="N68">
        <v>27997</v>
      </c>
      <c r="O68">
        <v>29672</v>
      </c>
      <c r="P68">
        <v>28856</v>
      </c>
      <c r="Q68">
        <v>28040</v>
      </c>
      <c r="R68">
        <v>34912</v>
      </c>
      <c r="S68">
        <v>32860</v>
      </c>
      <c r="T68">
        <v>29487</v>
      </c>
      <c r="U68">
        <v>24585</v>
      </c>
      <c r="V68">
        <v>26096</v>
      </c>
      <c r="W68">
        <v>27162</v>
      </c>
      <c r="X68">
        <v>29707</v>
      </c>
      <c r="Y68">
        <v>28491</v>
      </c>
      <c r="Z68">
        <v>29575</v>
      </c>
      <c r="AA68">
        <v>29976</v>
      </c>
      <c r="AB68">
        <v>31115</v>
      </c>
      <c r="AC68">
        <v>23552</v>
      </c>
      <c r="AD68">
        <v>16271</v>
      </c>
      <c r="AE68">
        <v>15485</v>
      </c>
      <c r="AF68">
        <v>14990</v>
      </c>
      <c r="AG68">
        <v>16640</v>
      </c>
      <c r="AH68">
        <v>19477</v>
      </c>
      <c r="AI68" s="1">
        <v>21095</v>
      </c>
      <c r="AJ68" s="1">
        <v>20395</v>
      </c>
      <c r="AK68" s="1">
        <v>22264</v>
      </c>
      <c r="AL68" s="1">
        <v>25155</v>
      </c>
      <c r="AM68" s="1">
        <v>23263</v>
      </c>
      <c r="AN68" s="1">
        <v>23778</v>
      </c>
      <c r="AO68" s="1">
        <v>28489</v>
      </c>
      <c r="AP68" s="1">
        <v>29891</v>
      </c>
      <c r="AQ68">
        <v>33308</v>
      </c>
      <c r="AR68">
        <v>31323</v>
      </c>
      <c r="AS68">
        <v>36311</v>
      </c>
      <c r="AT68">
        <v>33859</v>
      </c>
      <c r="AU68">
        <v>37133</v>
      </c>
      <c r="AV68">
        <v>40922</v>
      </c>
      <c r="AW68" t="s">
        <v>22</v>
      </c>
    </row>
    <row r="69" spans="1:49" x14ac:dyDescent="0.3"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9" x14ac:dyDescent="0.3">
      <c r="A70" t="s">
        <v>23</v>
      </c>
      <c r="B70" t="s">
        <v>10</v>
      </c>
      <c r="E70">
        <f>E51+E56+E61+E66</f>
        <v>2298</v>
      </c>
      <c r="F70">
        <f t="shared" ref="F70:K70" si="1">F51+F56+F61+F66</f>
        <v>2281</v>
      </c>
      <c r="G70">
        <f t="shared" si="1"/>
        <v>2101</v>
      </c>
      <c r="H70">
        <f t="shared" si="1"/>
        <v>1914</v>
      </c>
      <c r="I70">
        <f t="shared" si="1"/>
        <v>2519</v>
      </c>
      <c r="K70">
        <f t="shared" si="1"/>
        <v>2465</v>
      </c>
      <c r="Q70" s="1">
        <f t="shared" ref="Q70:AG70" si="2">Q51+Q56+Q61+Q66</f>
        <v>3263</v>
      </c>
      <c r="R70" s="1">
        <f t="shared" si="2"/>
        <v>3622</v>
      </c>
      <c r="S70" s="1">
        <f t="shared" si="2"/>
        <v>3794</v>
      </c>
      <c r="T70" s="1">
        <f t="shared" si="2"/>
        <v>4107</v>
      </c>
      <c r="U70" s="1">
        <f t="shared" si="2"/>
        <v>3934</v>
      </c>
      <c r="V70" s="1">
        <f t="shared" si="2"/>
        <v>4596</v>
      </c>
      <c r="W70" s="1">
        <f t="shared" si="2"/>
        <v>4579</v>
      </c>
      <c r="X70" s="1">
        <f t="shared" si="2"/>
        <v>4363</v>
      </c>
      <c r="Y70" s="1">
        <f t="shared" si="2"/>
        <v>3775</v>
      </c>
      <c r="Z70" s="1">
        <f t="shared" si="2"/>
        <v>3165</v>
      </c>
      <c r="AA70" s="1">
        <f t="shared" si="2"/>
        <v>3499</v>
      </c>
      <c r="AB70" s="1">
        <f t="shared" si="2"/>
        <v>2729</v>
      </c>
      <c r="AC70" s="1">
        <f t="shared" si="2"/>
        <v>2342</v>
      </c>
      <c r="AD70" s="1">
        <f t="shared" si="2"/>
        <v>1779</v>
      </c>
      <c r="AE70" s="1">
        <f t="shared" si="2"/>
        <v>1646.1057692307693</v>
      </c>
      <c r="AF70" s="1">
        <f t="shared" si="2"/>
        <v>1211.0613290175172</v>
      </c>
      <c r="AG70" s="1">
        <f t="shared" si="2"/>
        <v>1234</v>
      </c>
      <c r="AI70" s="1">
        <v>1139.3939393939395</v>
      </c>
      <c r="AJ70" s="1">
        <v>751.5151515151515</v>
      </c>
      <c r="AK70" s="1">
        <v>557.57575757575762</v>
      </c>
      <c r="AL70" s="1">
        <v>776.85950413223134</v>
      </c>
      <c r="AM70" s="1">
        <v>1016.5289256198345</v>
      </c>
      <c r="AN70" s="1">
        <v>570.24793388429748</v>
      </c>
      <c r="AO70" s="1">
        <v>388.42975206611573</v>
      </c>
      <c r="AP70" s="1">
        <v>637.54427390791022</v>
      </c>
      <c r="AQ70" s="1">
        <v>842.97520661157</v>
      </c>
      <c r="AR70" s="1"/>
      <c r="AS70" s="1"/>
      <c r="AT70" s="1"/>
      <c r="AU70" s="1"/>
      <c r="AV70" s="1"/>
      <c r="AW70" t="s">
        <v>24</v>
      </c>
    </row>
    <row r="71" spans="1:49" x14ac:dyDescent="0.3"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9" x14ac:dyDescent="0.3">
      <c r="B72" t="s">
        <v>10</v>
      </c>
      <c r="E72">
        <v>19056</v>
      </c>
      <c r="F72">
        <v>21142</v>
      </c>
      <c r="G72">
        <v>19785</v>
      </c>
      <c r="H72">
        <v>21051</v>
      </c>
      <c r="I72">
        <v>22015</v>
      </c>
      <c r="J72">
        <v>23172</v>
      </c>
      <c r="K72">
        <v>23705</v>
      </c>
      <c r="L72">
        <v>26658</v>
      </c>
      <c r="M72" t="s">
        <v>22</v>
      </c>
      <c r="N72">
        <v>27997</v>
      </c>
      <c r="O72">
        <v>29672</v>
      </c>
      <c r="P72">
        <v>28856</v>
      </c>
      <c r="Q72">
        <v>28040</v>
      </c>
      <c r="R72">
        <v>34912</v>
      </c>
      <c r="S72">
        <v>32860</v>
      </c>
      <c r="T72">
        <v>29487</v>
      </c>
      <c r="U72">
        <v>24585</v>
      </c>
      <c r="V72">
        <v>29047</v>
      </c>
      <c r="W72">
        <v>28977</v>
      </c>
      <c r="X72">
        <v>33024</v>
      </c>
      <c r="Y72">
        <v>31574</v>
      </c>
      <c r="Z72">
        <v>32186</v>
      </c>
      <c r="AA72">
        <v>29976</v>
      </c>
      <c r="AB72">
        <v>31115</v>
      </c>
      <c r="AC72">
        <v>23552</v>
      </c>
      <c r="AD72">
        <v>16271</v>
      </c>
      <c r="AE72">
        <v>15485</v>
      </c>
      <c r="AF72">
        <v>14990</v>
      </c>
      <c r="AG72">
        <v>17134</v>
      </c>
      <c r="AH72">
        <v>19477</v>
      </c>
      <c r="AI72" s="1">
        <v>21095</v>
      </c>
      <c r="AJ72" s="1">
        <v>20395</v>
      </c>
      <c r="AK72" s="1">
        <v>22264</v>
      </c>
      <c r="AL72" s="1">
        <v>25155</v>
      </c>
      <c r="AM72" s="1">
        <v>23263</v>
      </c>
      <c r="AN72" s="1">
        <v>23778</v>
      </c>
      <c r="AO72" s="1">
        <v>28489</v>
      </c>
      <c r="AP72" s="1"/>
      <c r="AQ72" s="1"/>
      <c r="AR72" s="1"/>
      <c r="AS72" s="1"/>
      <c r="AT72" s="1"/>
      <c r="AU72" s="1"/>
      <c r="AV72" s="1"/>
    </row>
    <row r="73" spans="1:49" x14ac:dyDescent="0.3"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9" x14ac:dyDescent="0.3"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Sunday Ochai</dc:creator>
  <cp:lastModifiedBy>Sunday Ochai</cp:lastModifiedBy>
  <dcterms:created xsi:type="dcterms:W3CDTF">2022-11-29T15:41:43Z</dcterms:created>
  <dcterms:modified xsi:type="dcterms:W3CDTF">2022-11-29T15:42:24Z</dcterms:modified>
</cp:coreProperties>
</file>